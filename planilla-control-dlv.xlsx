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bcaaaea0a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Mensual" sheetId="1" r:id="Ra9599d5a50f54dc9"/>
    <x:sheet xmlns:r="http://schemas.openxmlformats.org/officeDocument/2006/relationships" name="Carga Semanal" sheetId="2" r:id="R57a5a0d1258b4c02"/>
    <x:sheet xmlns:r="http://schemas.openxmlformats.org/officeDocument/2006/relationships" name="Locales" sheetId="3" r:id="R8a0d3f9a9fe04253"/>
    <x:sheet xmlns:r="http://schemas.openxmlformats.org/officeDocument/2006/relationships" name="Parametros" sheetId="4" r:id="R085dbbdc3b78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50231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02314"/>
      </x:patternFill>
    </x:fill>
    <x:fill>
      <x:patternFill patternType="solid">
        <x:fgColor rgb="FFFFFAF0"/>
      </x:patternFill>
    </x:fill>
    <x:fill>
      <x:patternFill patternType="solid">
        <x:fgColor rgb="FFD62300"/>
      </x:patternFill>
    </x:fill>
    <x:fill>
      <x:patternFill patternType="solid">
        <x:fgColor rgb="FFFFE3B5"/>
      </x:patternFill>
    </x:fill>
  </x:fills>
  <x:borders count="2">
    <x:border/>
    <x:border>
      <x:left style="thin">
        <x:color rgb="FFE8BF8F"/>
      </x:left>
      <x:right style="thin">
        <x:color rgb="FFE8BF8F"/>
      </x:right>
      <x:top style="thin">
        <x:color rgb="FFE8BF8F"/>
      </x:top>
      <x:bottom style="thin">
        <x:color rgb="FFE8BF8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1" fillId="2" borderId="1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197445"/>
      </x:font>
      <x:fill>
        <x:patternFill patternType="solid">
          <x:bgColor rgb="FFE0F2D6"/>
        </x:patternFill>
      </x:fill>
    </x:dxf>
    <x:dxf>
      <x:font>
        <x:b/>
        <x:color rgb="FFD62300"/>
      </x:font>
      <x:fill>
        <x:patternFill patternType="solid">
          <x:bgColor rgb="FFFFD9CA"/>
        </x:patternFill>
      </x:fill>
    </x:dxf>
    <x:dxf>
      <x:font>
        <x:b/>
        <x:color rgb="FF8B5D00"/>
      </x:font>
      <x:fill>
        <x:patternFill patternType="solid">
          <x:bgColor rgb="FFFFF0B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23cd686344dae" /><Relationship Type="http://schemas.openxmlformats.org/officeDocument/2006/relationships/theme" Target="/xl/theme/theme1.xml" Id="R86c313c408cc42ec" /><Relationship Type="http://schemas.openxmlformats.org/officeDocument/2006/relationships/sharedStrings" Target="/xl/sharedStrings.xml" Id="R852d54a62a664fe7" /><Relationship Type="http://schemas.openxmlformats.org/officeDocument/2006/relationships/worksheet" Target="/xl/worksheets/sheet1.xml" Id="Ra9599d5a50f54dc9" /><Relationship Type="http://schemas.openxmlformats.org/officeDocument/2006/relationships/worksheet" Target="/xl/worksheets/sheet2.xml" Id="R57a5a0d1258b4c02" /><Relationship Type="http://schemas.openxmlformats.org/officeDocument/2006/relationships/worksheet" Target="/xl/worksheets/sheet3.xml" Id="R8a0d3f9a9fe04253" /><Relationship Type="http://schemas.openxmlformats.org/officeDocument/2006/relationships/worksheet" Target="/xl/worksheets/sheet4.xml" Id="R085dbbdc3b7845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0" customHeight="1">
      <x:c r="A1" s="10" t="str">
        <x:v>CONTROL MENSUAL DLV</x:v>
      </x:c>
    </x:row>
    <x:row r="3">
      <x:c r="A3" s="12" t="str">
        <x:v>Mes</x:v>
      </x:c>
      <x:c r="B3" s="5" t="str">
        <x:v>Agosto de 2026</x:v>
      </x:c>
    </x:row>
    <x:row r="4">
      <x:c r="A4" s="12" t="str">
        <x:v>Locales</x:v>
      </x:c>
      <x:c r="B4" s="5" t="n">
        <x:v>13</x:v>
      </x:c>
    </x:row>
    <x:row r="5">
      <x:c r="A5" s="12" t="str">
        <x:v>Semanas listas</x:v>
      </x:c>
      <x:c r="B5" s="5" t="n">
        <x:v>5</x:v>
      </x:c>
    </x:row>
    <x:row r="6">
      <x:c r="A6" s="12" t="str">
        <x:v>Maximo sin disputar</x:v>
      </x:c>
      <x:c r="B6" s="5" t="n">
        <x:v>3</x:v>
      </x:c>
    </x:row>
    <x:row r="8">
      <x:c r="A8" s="3" t="str">
        <x:v>Codigo</x:v>
      </x:c>
      <x:c r="B8" s="3" t="str">
        <x:v>Tienda</x:v>
      </x:c>
      <x:c r="C8" s="3" t="str">
        <x:v>Semana 1 al 07-08</x:v>
      </x:c>
      <x:c r="D8" s="3" t="str">
        <x:v>Semana 8 al 14-08</x:v>
      </x:c>
      <x:c r="E8" s="3" t="str">
        <x:v>Semana 15 al 21-08</x:v>
      </x:c>
      <x:c r="F8" s="3" t="str">
        <x:v>Semana 22 al 28-08</x:v>
      </x:c>
      <x:c r="G8" s="3" t="str">
        <x:v>Semana 29 al 31-08</x:v>
      </x:c>
      <x:c r="H8" s="3" t="str">
        <x:v>Cumple</x:v>
      </x:c>
      <x:c r="I8" s="3" t="str">
        <x:v>% mensual</x:v>
      </x:c>
      <x:c r="J8" s="3" t="str">
        <x:v>P. incorrectos</x:v>
      </x:c>
      <x:c r="K8" s="3" t="str">
        <x:v>Dev. Uber</x:v>
      </x:c>
      <x:c r="L8" s="3" t="str">
        <x:v>Rechazadas</x:v>
      </x:c>
      <x:c r="M8" s="3" t="str">
        <x:v>Aprobadas</x:v>
      </x:c>
      <x:c r="N8" s="3" t="str">
        <x:v>Sin disputas</x:v>
      </x:c>
      <x:c r="O8" s="3" t="str">
        <x:v>Cumple mes?</x:v>
      </x:c>
    </x:row>
    <x:row r="9">
      <x:c r="A9" s="7" t="str">
        <x:v>12017</x:v>
      </x:c>
      <x:c r="B9" s="5" t="str">
        <x:v>Apumanque</x:v>
      </x:c>
      <x:c r="C9" s="5" t="str">
        <x:f>IF(COUNTIFS('Carga Semanal'!$A$2:$A$500,C$8,'Carga Semanal'!$B$2:$B$500,$A9)=0,"Sin datos",IF(COUNTIFS('Carga Semanal'!$A$2:$A$500,C$8,'Carga Semanal'!$B$2:$B$500,$A9,'Carga Semanal'!$I$2:$I$500,"Cumple")&gt;0,"Cumple","No cumple"))</x:f>
        <x:v>Sin datos</x:v>
      </x:c>
      <x:c r="D9" s="5" t="str">
        <x:f>IF(COUNTIFS('Carga Semanal'!$A$2:$A$500,D$8,'Carga Semanal'!$B$2:$B$500,$A9)=0,"Sin datos",IF(COUNTIFS('Carga Semanal'!$A$2:$A$500,D$8,'Carga Semanal'!$B$2:$B$500,$A9,'Carga Semanal'!$I$2:$I$500,"Cumple")&gt;0,"Cumple","No cumple"))</x:f>
        <x:v>Sin datos</x:v>
      </x:c>
      <x:c r="E9" s="5" t="str">
        <x:f>IF(COUNTIFS('Carga Semanal'!$A$2:$A$500,E$8,'Carga Semanal'!$B$2:$B$500,$A9)=0,"Sin datos",IF(COUNTIFS('Carga Semanal'!$A$2:$A$500,E$8,'Carga Semanal'!$B$2:$B$500,$A9,'Carga Semanal'!$I$2:$I$500,"Cumple")&gt;0,"Cumple","No cumple"))</x:f>
        <x:v>Sin datos</x:v>
      </x:c>
      <x:c r="F9" s="5" t="str">
        <x:f>IF(COUNTIFS('Carga Semanal'!$A$2:$A$500,F$8,'Carga Semanal'!$B$2:$B$500,$A9)=0,"Sin datos",IF(COUNTIFS('Carga Semanal'!$A$2:$A$500,F$8,'Carga Semanal'!$B$2:$B$500,$A9,'Carga Semanal'!$I$2:$I$500,"Cumple")&gt;0,"Cumple","No cumple"))</x:f>
        <x:v>Sin datos</x:v>
      </x:c>
      <x:c r="G9" s="5" t="str">
        <x:f>IF(COUNTIFS('Carga Semanal'!$A$2:$A$500,G$8,'Carga Semanal'!$B$2:$B$500,$A9)=0,"Sin datos",IF(COUNTIFS('Carga Semanal'!$A$2:$A$500,G$8,'Carga Semanal'!$B$2:$B$500,$A9,'Carga Semanal'!$I$2:$I$500,"Cumple")&gt;0,"Cumple","No cumple"))</x:f>
        <x:v>Sin datos</x:v>
      </x:c>
      <x:c r="H9" s="5" t="n">
        <x:f>COUNTIF(C9:G9,"Cumple")</x:f>
        <x:v>0</x:v>
      </x:c>
      <x:c r="I9" s="17" t="n">
        <x:f>IF(COUNTIF(C9:G9,"&lt;&gt;Sin datos")=0,0,H9/COUNTIF(C9:G9,"&lt;&gt;Sin datos"))</x:f>
        <x:v>0</x:v>
      </x:c>
      <x:c r="J9" s="5" t="n">
        <x:f>SUMIFS('Carga Semanal'!$D$2:$D$500,'Carga Semanal'!$B$2:$B$500,$A9)</x:f>
        <x:v>0</x:v>
      </x:c>
      <x:c r="K9" s="5" t="n">
        <x:f>SUMIFS('Carga Semanal'!$E$2:$E$500,'Carga Semanal'!$B$2:$B$500,$A9)</x:f>
        <x:v>0</x:v>
      </x:c>
      <x:c r="L9" s="5" t="n">
        <x:f>SUMIFS('Carga Semanal'!$F$2:$F$500,'Carga Semanal'!$B$2:$B$500,$A9)</x:f>
        <x:v>0</x:v>
      </x:c>
      <x:c r="M9" s="5" t="n">
        <x:f>SUMIFS('Carga Semanal'!$G$2:$G$500,'Carga Semanal'!$B$2:$B$500,$A9)</x:f>
        <x:v>0</x:v>
      </x:c>
      <x:c r="N9" s="5" t="n">
        <x:f>SUMIFS('Carga Semanal'!$H$2:$H$500,'Carga Semanal'!$B$2:$B$500,$A9)</x:f>
        <x:v>0</x:v>
      </x:c>
      <x:c r="O9" s="5" t="str">
        <x:f>IF(COUNTIF(C9:G9,"&lt;&gt;Sin datos")=0,"Sin datos",IF(I9=1,"Cumple","No cumple"))</x:f>
        <x:v>Sin datos</x:v>
      </x:c>
    </x:row>
    <x:row r="10">
      <x:c r="A10" s="7" t="str">
        <x:v>31866</x:v>
      </x:c>
      <x:c r="B10" s="5" t="str">
        <x:v>Arauco Chillan</x:v>
      </x:c>
      <x:c r="C10" s="5" t="str">
        <x:f>IF(COUNTIFS('Carga Semanal'!$A$2:$A$500,C$8,'Carga Semanal'!$B$2:$B$500,$A10)=0,"Sin datos",IF(COUNTIFS('Carga Semanal'!$A$2:$A$500,C$8,'Carga Semanal'!$B$2:$B$500,$A10,'Carga Semanal'!$I$2:$I$500,"Cumple")&gt;0,"Cumple","No cumple"))</x:f>
        <x:v>Sin datos</x:v>
      </x:c>
      <x:c r="D10" s="5" t="str">
        <x:f>IF(COUNTIFS('Carga Semanal'!$A$2:$A$500,D$8,'Carga Semanal'!$B$2:$B$500,$A10)=0,"Sin datos",IF(COUNTIFS('Carga Semanal'!$A$2:$A$500,D$8,'Carga Semanal'!$B$2:$B$500,$A10,'Carga Semanal'!$I$2:$I$500,"Cumple")&gt;0,"Cumple","No cumple"))</x:f>
        <x:v>Sin datos</x:v>
      </x:c>
      <x:c r="E10" s="5" t="str">
        <x:f>IF(COUNTIFS('Carga Semanal'!$A$2:$A$500,E$8,'Carga Semanal'!$B$2:$B$500,$A10)=0,"Sin datos",IF(COUNTIFS('Carga Semanal'!$A$2:$A$500,E$8,'Carga Semanal'!$B$2:$B$500,$A10,'Carga Semanal'!$I$2:$I$500,"Cumple")&gt;0,"Cumple","No cumple"))</x:f>
        <x:v>Sin datos</x:v>
      </x:c>
      <x:c r="F10" s="5" t="str">
        <x:f>IF(COUNTIFS('Carga Semanal'!$A$2:$A$500,F$8,'Carga Semanal'!$B$2:$B$500,$A10)=0,"Sin datos",IF(COUNTIFS('Carga Semanal'!$A$2:$A$500,F$8,'Carga Semanal'!$B$2:$B$500,$A10,'Carga Semanal'!$I$2:$I$500,"Cumple")&gt;0,"Cumple","No cumple"))</x:f>
        <x:v>Sin datos</x:v>
      </x:c>
      <x:c r="G10" s="5" t="str">
        <x:f>IF(COUNTIFS('Carga Semanal'!$A$2:$A$500,G$8,'Carga Semanal'!$B$2:$B$500,$A10)=0,"Sin datos",IF(COUNTIFS('Carga Semanal'!$A$2:$A$500,G$8,'Carga Semanal'!$B$2:$B$500,$A10,'Carga Semanal'!$I$2:$I$500,"Cumple")&gt;0,"Cumple","No cumple"))</x:f>
        <x:v>Sin datos</x:v>
      </x:c>
      <x:c r="H10" s="5" t="n">
        <x:f>COUNTIF(C10:G10,"Cumple")</x:f>
        <x:v>0</x:v>
      </x:c>
      <x:c r="I10" s="17" t="n">
        <x:f>IF(COUNTIF(C10:G10,"&lt;&gt;Sin datos")=0,0,H10/COUNTIF(C10:G10,"&lt;&gt;Sin datos"))</x:f>
        <x:v>0</x:v>
      </x:c>
      <x:c r="J10" s="5" t="n">
        <x:f>SUMIFS('Carga Semanal'!$D$2:$D$500,'Carga Semanal'!$B$2:$B$500,$A10)</x:f>
        <x:v>0</x:v>
      </x:c>
      <x:c r="K10" s="5" t="n">
        <x:f>SUMIFS('Carga Semanal'!$E$2:$E$500,'Carga Semanal'!$B$2:$B$500,$A10)</x:f>
        <x:v>0</x:v>
      </x:c>
      <x:c r="L10" s="5" t="n">
        <x:f>SUMIFS('Carga Semanal'!$F$2:$F$500,'Carga Semanal'!$B$2:$B$500,$A10)</x:f>
        <x:v>0</x:v>
      </x:c>
      <x:c r="M10" s="5" t="n">
        <x:f>SUMIFS('Carga Semanal'!$G$2:$G$500,'Carga Semanal'!$B$2:$B$500,$A10)</x:f>
        <x:v>0</x:v>
      </x:c>
      <x:c r="N10" s="5" t="n">
        <x:f>SUMIFS('Carga Semanal'!$H$2:$H$500,'Carga Semanal'!$B$2:$B$500,$A10)</x:f>
        <x:v>0</x:v>
      </x:c>
      <x:c r="O10" s="5" t="str">
        <x:f>IF(COUNTIF(C10:G10,"&lt;&gt;Sin datos")=0,"Sin datos",IF(I10=1,"Cumple","No cumple"))</x:f>
        <x:v>Sin datos</x:v>
      </x:c>
    </x:row>
    <x:row r="11">
      <x:c r="A11" s="7" t="str">
        <x:v>15886</x:v>
      </x:c>
      <x:c r="B11" s="5" t="str">
        <x:v>El Faro Fc</x:v>
      </x:c>
      <x:c r="C11" s="5" t="str">
        <x:f>IF(COUNTIFS('Carga Semanal'!$A$2:$A$500,C$8,'Carga Semanal'!$B$2:$B$500,$A11)=0,"Sin datos",IF(COUNTIFS('Carga Semanal'!$A$2:$A$500,C$8,'Carga Semanal'!$B$2:$B$500,$A11,'Carga Semanal'!$I$2:$I$500,"Cumple")&gt;0,"Cumple","No cumple"))</x:f>
        <x:v>Sin datos</x:v>
      </x:c>
      <x:c r="D11" s="5" t="str">
        <x:f>IF(COUNTIFS('Carga Semanal'!$A$2:$A$500,D$8,'Carga Semanal'!$B$2:$B$500,$A11)=0,"Sin datos",IF(COUNTIFS('Carga Semanal'!$A$2:$A$500,D$8,'Carga Semanal'!$B$2:$B$500,$A11,'Carga Semanal'!$I$2:$I$500,"Cumple")&gt;0,"Cumple","No cumple"))</x:f>
        <x:v>Sin datos</x:v>
      </x:c>
      <x:c r="E11" s="5" t="str">
        <x:f>IF(COUNTIFS('Carga Semanal'!$A$2:$A$500,E$8,'Carga Semanal'!$B$2:$B$500,$A11)=0,"Sin datos",IF(COUNTIFS('Carga Semanal'!$A$2:$A$500,E$8,'Carga Semanal'!$B$2:$B$500,$A11,'Carga Semanal'!$I$2:$I$500,"Cumple")&gt;0,"Cumple","No cumple"))</x:f>
        <x:v>Sin datos</x:v>
      </x:c>
      <x:c r="F11" s="5" t="str">
        <x:f>IF(COUNTIFS('Carga Semanal'!$A$2:$A$500,F$8,'Carga Semanal'!$B$2:$B$500,$A11)=0,"Sin datos",IF(COUNTIFS('Carga Semanal'!$A$2:$A$500,F$8,'Carga Semanal'!$B$2:$B$500,$A11,'Carga Semanal'!$I$2:$I$500,"Cumple")&gt;0,"Cumple","No cumple"))</x:f>
        <x:v>Sin datos</x:v>
      </x:c>
      <x:c r="G11" s="5" t="str">
        <x:f>IF(COUNTIFS('Carga Semanal'!$A$2:$A$500,G$8,'Carga Semanal'!$B$2:$B$500,$A11)=0,"Sin datos",IF(COUNTIFS('Carga Semanal'!$A$2:$A$500,G$8,'Carga Semanal'!$B$2:$B$500,$A11,'Carga Semanal'!$I$2:$I$500,"Cumple")&gt;0,"Cumple","No cumple"))</x:f>
        <x:v>Sin datos</x:v>
      </x:c>
      <x:c r="H11" s="5" t="n">
        <x:f>COUNTIF(C11:G11,"Cumple")</x:f>
        <x:v>0</x:v>
      </x:c>
      <x:c r="I11" s="17" t="n">
        <x:f>IF(COUNTIF(C11:G11,"&lt;&gt;Sin datos")=0,0,H11/COUNTIF(C11:G11,"&lt;&gt;Sin datos"))</x:f>
        <x:v>0</x:v>
      </x:c>
      <x:c r="J11" s="5" t="n">
        <x:f>SUMIFS('Carga Semanal'!$D$2:$D$500,'Carga Semanal'!$B$2:$B$500,$A11)</x:f>
        <x:v>0</x:v>
      </x:c>
      <x:c r="K11" s="5" t="n">
        <x:f>SUMIFS('Carga Semanal'!$E$2:$E$500,'Carga Semanal'!$B$2:$B$500,$A11)</x:f>
        <x:v>0</x:v>
      </x:c>
      <x:c r="L11" s="5" t="n">
        <x:f>SUMIFS('Carga Semanal'!$F$2:$F$500,'Carga Semanal'!$B$2:$B$500,$A11)</x:f>
        <x:v>0</x:v>
      </x:c>
      <x:c r="M11" s="5" t="n">
        <x:f>SUMIFS('Carga Semanal'!$G$2:$G$500,'Carga Semanal'!$B$2:$B$500,$A11)</x:f>
        <x:v>0</x:v>
      </x:c>
      <x:c r="N11" s="5" t="n">
        <x:f>SUMIFS('Carga Semanal'!$H$2:$H$500,'Carga Semanal'!$B$2:$B$500,$A11)</x:f>
        <x:v>0</x:v>
      </x:c>
      <x:c r="O11" s="5" t="str">
        <x:f>IF(COUNTIF(C11:G11,"&lt;&gt;Sin datos")=0,"Sin datos",IF(I11=1,"Cumple","No cumple"))</x:f>
        <x:v>Sin datos</x:v>
      </x:c>
    </x:row>
    <x:row r="12">
      <x:c r="A12" s="7" t="str">
        <x:v>14756</x:v>
      </x:c>
      <x:c r="B12" s="5" t="str">
        <x:v>Florida Center</x:v>
      </x:c>
      <x:c r="C12" s="5" t="str">
        <x:f>IF(COUNTIFS('Carga Semanal'!$A$2:$A$500,C$8,'Carga Semanal'!$B$2:$B$500,$A12)=0,"Sin datos",IF(COUNTIFS('Carga Semanal'!$A$2:$A$500,C$8,'Carga Semanal'!$B$2:$B$500,$A12,'Carga Semanal'!$I$2:$I$500,"Cumple")&gt;0,"Cumple","No cumple"))</x:f>
        <x:v>Sin datos</x:v>
      </x:c>
      <x:c r="D12" s="5" t="str">
        <x:f>IF(COUNTIFS('Carga Semanal'!$A$2:$A$500,D$8,'Carga Semanal'!$B$2:$B$500,$A12)=0,"Sin datos",IF(COUNTIFS('Carga Semanal'!$A$2:$A$500,D$8,'Carga Semanal'!$B$2:$B$500,$A12,'Carga Semanal'!$I$2:$I$500,"Cumple")&gt;0,"Cumple","No cumple"))</x:f>
        <x:v>Sin datos</x:v>
      </x:c>
      <x:c r="E12" s="5" t="str">
        <x:f>IF(COUNTIFS('Carga Semanal'!$A$2:$A$500,E$8,'Carga Semanal'!$B$2:$B$500,$A12)=0,"Sin datos",IF(COUNTIFS('Carga Semanal'!$A$2:$A$500,E$8,'Carga Semanal'!$B$2:$B$500,$A12,'Carga Semanal'!$I$2:$I$500,"Cumple")&gt;0,"Cumple","No cumple"))</x:f>
        <x:v>Sin datos</x:v>
      </x:c>
      <x:c r="F12" s="5" t="str">
        <x:f>IF(COUNTIFS('Carga Semanal'!$A$2:$A$500,F$8,'Carga Semanal'!$B$2:$B$500,$A12)=0,"Sin datos",IF(COUNTIFS('Carga Semanal'!$A$2:$A$500,F$8,'Carga Semanal'!$B$2:$B$500,$A12,'Carga Semanal'!$I$2:$I$500,"Cumple")&gt;0,"Cumple","No cumple"))</x:f>
        <x:v>Sin datos</x:v>
      </x:c>
      <x:c r="G12" s="5" t="str">
        <x:f>IF(COUNTIFS('Carga Semanal'!$A$2:$A$500,G$8,'Carga Semanal'!$B$2:$B$500,$A12)=0,"Sin datos",IF(COUNTIFS('Carga Semanal'!$A$2:$A$500,G$8,'Carga Semanal'!$B$2:$B$500,$A12,'Carga Semanal'!$I$2:$I$500,"Cumple")&gt;0,"Cumple","No cumple"))</x:f>
        <x:v>Sin datos</x:v>
      </x:c>
      <x:c r="H12" s="5" t="n">
        <x:f>COUNTIF(C12:G12,"Cumple")</x:f>
        <x:v>0</x:v>
      </x:c>
      <x:c r="I12" s="17" t="n">
        <x:f>IF(COUNTIF(C12:G12,"&lt;&gt;Sin datos")=0,0,H12/COUNTIF(C12:G12,"&lt;&gt;Sin datos"))</x:f>
        <x:v>0</x:v>
      </x:c>
      <x:c r="J12" s="5" t="n">
        <x:f>SUMIFS('Carga Semanal'!$D$2:$D$500,'Carga Semanal'!$B$2:$B$500,$A12)</x:f>
        <x:v>0</x:v>
      </x:c>
      <x:c r="K12" s="5" t="n">
        <x:f>SUMIFS('Carga Semanal'!$E$2:$E$500,'Carga Semanal'!$B$2:$B$500,$A12)</x:f>
        <x:v>0</x:v>
      </x:c>
      <x:c r="L12" s="5" t="n">
        <x:f>SUMIFS('Carga Semanal'!$F$2:$F$500,'Carga Semanal'!$B$2:$B$500,$A12)</x:f>
        <x:v>0</x:v>
      </x:c>
      <x:c r="M12" s="5" t="n">
        <x:f>SUMIFS('Carga Semanal'!$G$2:$G$500,'Carga Semanal'!$B$2:$B$500,$A12)</x:f>
        <x:v>0</x:v>
      </x:c>
      <x:c r="N12" s="5" t="n">
        <x:f>SUMIFS('Carga Semanal'!$H$2:$H$500,'Carga Semanal'!$B$2:$B$500,$A12)</x:f>
        <x:v>0</x:v>
      </x:c>
      <x:c r="O12" s="5" t="str">
        <x:f>IF(COUNTIF(C12:G12,"&lt;&gt;Sin datos")=0,"Sin datos",IF(I12=1,"Cumple","No cumple"))</x:f>
        <x:v>Sin datos</x:v>
      </x:c>
    </x:row>
    <x:row r="13">
      <x:c r="A13" s="7" t="str">
        <x:v>8965</x:v>
      </x:c>
      <x:c r="B13" s="5" t="str">
        <x:v>Irarrazaval Fs</x:v>
      </x:c>
      <x:c r="C13" s="5" t="str">
        <x:f>IF(COUNTIFS('Carga Semanal'!$A$2:$A$500,C$8,'Carga Semanal'!$B$2:$B$500,$A13)=0,"Sin datos",IF(COUNTIFS('Carga Semanal'!$A$2:$A$500,C$8,'Carga Semanal'!$B$2:$B$500,$A13,'Carga Semanal'!$I$2:$I$500,"Cumple")&gt;0,"Cumple","No cumple"))</x:f>
        <x:v>Sin datos</x:v>
      </x:c>
      <x:c r="D13" s="5" t="str">
        <x:f>IF(COUNTIFS('Carga Semanal'!$A$2:$A$500,D$8,'Carga Semanal'!$B$2:$B$500,$A13)=0,"Sin datos",IF(COUNTIFS('Carga Semanal'!$A$2:$A$500,D$8,'Carga Semanal'!$B$2:$B$500,$A13,'Carga Semanal'!$I$2:$I$500,"Cumple")&gt;0,"Cumple","No cumple"))</x:f>
        <x:v>Sin datos</x:v>
      </x:c>
      <x:c r="E13" s="5" t="str">
        <x:f>IF(COUNTIFS('Carga Semanal'!$A$2:$A$500,E$8,'Carga Semanal'!$B$2:$B$500,$A13)=0,"Sin datos",IF(COUNTIFS('Carga Semanal'!$A$2:$A$500,E$8,'Carga Semanal'!$B$2:$B$500,$A13,'Carga Semanal'!$I$2:$I$500,"Cumple")&gt;0,"Cumple","No cumple"))</x:f>
        <x:v>Sin datos</x:v>
      </x:c>
      <x:c r="F13" s="5" t="str">
        <x:f>IF(COUNTIFS('Carga Semanal'!$A$2:$A$500,F$8,'Carga Semanal'!$B$2:$B$500,$A13)=0,"Sin datos",IF(COUNTIFS('Carga Semanal'!$A$2:$A$500,F$8,'Carga Semanal'!$B$2:$B$500,$A13,'Carga Semanal'!$I$2:$I$500,"Cumple")&gt;0,"Cumple","No cumple"))</x:f>
        <x:v>Sin datos</x:v>
      </x:c>
      <x:c r="G13" s="5" t="str">
        <x:f>IF(COUNTIFS('Carga Semanal'!$A$2:$A$500,G$8,'Carga Semanal'!$B$2:$B$500,$A13)=0,"Sin datos",IF(COUNTIFS('Carga Semanal'!$A$2:$A$500,G$8,'Carga Semanal'!$B$2:$B$500,$A13,'Carga Semanal'!$I$2:$I$500,"Cumple")&gt;0,"Cumple","No cumple"))</x:f>
        <x:v>Sin datos</x:v>
      </x:c>
      <x:c r="H13" s="5" t="n">
        <x:f>COUNTIF(C13:G13,"Cumple")</x:f>
        <x:v>0</x:v>
      </x:c>
      <x:c r="I13" s="17" t="n">
        <x:f>IF(COUNTIF(C13:G13,"&lt;&gt;Sin datos")=0,0,H13/COUNTIF(C13:G13,"&lt;&gt;Sin datos"))</x:f>
        <x:v>0</x:v>
      </x:c>
      <x:c r="J13" s="5" t="n">
        <x:f>SUMIFS('Carga Semanal'!$D$2:$D$500,'Carga Semanal'!$B$2:$B$500,$A13)</x:f>
        <x:v>0</x:v>
      </x:c>
      <x:c r="K13" s="5" t="n">
        <x:f>SUMIFS('Carga Semanal'!$E$2:$E$500,'Carga Semanal'!$B$2:$B$500,$A13)</x:f>
        <x:v>0</x:v>
      </x:c>
      <x:c r="L13" s="5" t="n">
        <x:f>SUMIFS('Carga Semanal'!$F$2:$F$500,'Carga Semanal'!$B$2:$B$500,$A13)</x:f>
        <x:v>0</x:v>
      </x:c>
      <x:c r="M13" s="5" t="n">
        <x:f>SUMIFS('Carga Semanal'!$G$2:$G$500,'Carga Semanal'!$B$2:$B$500,$A13)</x:f>
        <x:v>0</x:v>
      </x:c>
      <x:c r="N13" s="5" t="n">
        <x:f>SUMIFS('Carga Semanal'!$H$2:$H$500,'Carga Semanal'!$B$2:$B$500,$A13)</x:f>
        <x:v>0</x:v>
      </x:c>
      <x:c r="O13" s="5" t="str">
        <x:f>IF(COUNTIF(C13:G13,"&lt;&gt;Sin datos")=0,"Sin datos",IF(I13=1,"Cumple","No cumple"))</x:f>
        <x:v>Sin datos</x:v>
      </x:c>
    </x:row>
    <x:row r="14">
      <x:c r="A14" s="7" t="str">
        <x:v>32047</x:v>
      </x:c>
      <x:c r="B14" s="5" t="str">
        <x:v>Irarrazaval Poniente</x:v>
      </x:c>
      <x:c r="C14" s="5" t="str">
        <x:f>IF(COUNTIFS('Carga Semanal'!$A$2:$A$500,C$8,'Carga Semanal'!$B$2:$B$500,$A14)=0,"Sin datos",IF(COUNTIFS('Carga Semanal'!$A$2:$A$500,C$8,'Carga Semanal'!$B$2:$B$500,$A14,'Carga Semanal'!$I$2:$I$500,"Cumple")&gt;0,"Cumple","No cumple"))</x:f>
        <x:v>Sin datos</x:v>
      </x:c>
      <x:c r="D14" s="5" t="str">
        <x:f>IF(COUNTIFS('Carga Semanal'!$A$2:$A$500,D$8,'Carga Semanal'!$B$2:$B$500,$A14)=0,"Sin datos",IF(COUNTIFS('Carga Semanal'!$A$2:$A$500,D$8,'Carga Semanal'!$B$2:$B$500,$A14,'Carga Semanal'!$I$2:$I$500,"Cumple")&gt;0,"Cumple","No cumple"))</x:f>
        <x:v>Sin datos</x:v>
      </x:c>
      <x:c r="E14" s="5" t="str">
        <x:f>IF(COUNTIFS('Carga Semanal'!$A$2:$A$500,E$8,'Carga Semanal'!$B$2:$B$500,$A14)=0,"Sin datos",IF(COUNTIFS('Carga Semanal'!$A$2:$A$500,E$8,'Carga Semanal'!$B$2:$B$500,$A14,'Carga Semanal'!$I$2:$I$500,"Cumple")&gt;0,"Cumple","No cumple"))</x:f>
        <x:v>Sin datos</x:v>
      </x:c>
      <x:c r="F14" s="5" t="str">
        <x:f>IF(COUNTIFS('Carga Semanal'!$A$2:$A$500,F$8,'Carga Semanal'!$B$2:$B$500,$A14)=0,"Sin datos",IF(COUNTIFS('Carga Semanal'!$A$2:$A$500,F$8,'Carga Semanal'!$B$2:$B$500,$A14,'Carga Semanal'!$I$2:$I$500,"Cumple")&gt;0,"Cumple","No cumple"))</x:f>
        <x:v>Sin datos</x:v>
      </x:c>
      <x:c r="G14" s="5" t="str">
        <x:f>IF(COUNTIFS('Carga Semanal'!$A$2:$A$500,G$8,'Carga Semanal'!$B$2:$B$500,$A14)=0,"Sin datos",IF(COUNTIFS('Carga Semanal'!$A$2:$A$500,G$8,'Carga Semanal'!$B$2:$B$500,$A14,'Carga Semanal'!$I$2:$I$500,"Cumple")&gt;0,"Cumple","No cumple"))</x:f>
        <x:v>Sin datos</x:v>
      </x:c>
      <x:c r="H14" s="5" t="n">
        <x:f>COUNTIF(C14:G14,"Cumple")</x:f>
        <x:v>0</x:v>
      </x:c>
      <x:c r="I14" s="17" t="n">
        <x:f>IF(COUNTIF(C14:G14,"&lt;&gt;Sin datos")=0,0,H14/COUNTIF(C14:G14,"&lt;&gt;Sin datos"))</x:f>
        <x:v>0</x:v>
      </x:c>
      <x:c r="J14" s="5" t="n">
        <x:f>SUMIFS('Carga Semanal'!$D$2:$D$500,'Carga Semanal'!$B$2:$B$500,$A14)</x:f>
        <x:v>0</x:v>
      </x:c>
      <x:c r="K14" s="5" t="n">
        <x:f>SUMIFS('Carga Semanal'!$E$2:$E$500,'Carga Semanal'!$B$2:$B$500,$A14)</x:f>
        <x:v>0</x:v>
      </x:c>
      <x:c r="L14" s="5" t="n">
        <x:f>SUMIFS('Carga Semanal'!$F$2:$F$500,'Carga Semanal'!$B$2:$B$500,$A14)</x:f>
        <x:v>0</x:v>
      </x:c>
      <x:c r="M14" s="5" t="n">
        <x:f>SUMIFS('Carga Semanal'!$G$2:$G$500,'Carga Semanal'!$B$2:$B$500,$A14)</x:f>
        <x:v>0</x:v>
      </x:c>
      <x:c r="N14" s="5" t="n">
        <x:f>SUMIFS('Carga Semanal'!$H$2:$H$500,'Carga Semanal'!$B$2:$B$500,$A14)</x:f>
        <x:v>0</x:v>
      </x:c>
      <x:c r="O14" s="5" t="str">
        <x:f>IF(COUNTIF(C14:G14,"&lt;&gt;Sin datos")=0,"Sin datos",IF(I14=1,"Cumple","No cumple"))</x:f>
        <x:v>Sin datos</x:v>
      </x:c>
    </x:row>
    <x:row r="15">
      <x:c r="A15" s="7" t="str">
        <x:v>23602</x:v>
      </x:c>
      <x:c r="B15" s="5" t="str">
        <x:v>Mall Concepcion</x:v>
      </x:c>
      <x:c r="C15" s="5" t="str">
        <x:f>IF(COUNTIFS('Carga Semanal'!$A$2:$A$500,C$8,'Carga Semanal'!$B$2:$B$500,$A15)=0,"Sin datos",IF(COUNTIFS('Carga Semanal'!$A$2:$A$500,C$8,'Carga Semanal'!$B$2:$B$500,$A15,'Carga Semanal'!$I$2:$I$500,"Cumple")&gt;0,"Cumple","No cumple"))</x:f>
        <x:v>Sin datos</x:v>
      </x:c>
      <x:c r="D15" s="5" t="str">
        <x:f>IF(COUNTIFS('Carga Semanal'!$A$2:$A$500,D$8,'Carga Semanal'!$B$2:$B$500,$A15)=0,"Sin datos",IF(COUNTIFS('Carga Semanal'!$A$2:$A$500,D$8,'Carga Semanal'!$B$2:$B$500,$A15,'Carga Semanal'!$I$2:$I$500,"Cumple")&gt;0,"Cumple","No cumple"))</x:f>
        <x:v>Sin datos</x:v>
      </x:c>
      <x:c r="E15" s="5" t="str">
        <x:f>IF(COUNTIFS('Carga Semanal'!$A$2:$A$500,E$8,'Carga Semanal'!$B$2:$B$500,$A15)=0,"Sin datos",IF(COUNTIFS('Carga Semanal'!$A$2:$A$500,E$8,'Carga Semanal'!$B$2:$B$500,$A15,'Carga Semanal'!$I$2:$I$500,"Cumple")&gt;0,"Cumple","No cumple"))</x:f>
        <x:v>Sin datos</x:v>
      </x:c>
      <x:c r="F15" s="5" t="str">
        <x:f>IF(COUNTIFS('Carga Semanal'!$A$2:$A$500,F$8,'Carga Semanal'!$B$2:$B$500,$A15)=0,"Sin datos",IF(COUNTIFS('Carga Semanal'!$A$2:$A$500,F$8,'Carga Semanal'!$B$2:$B$500,$A15,'Carga Semanal'!$I$2:$I$500,"Cumple")&gt;0,"Cumple","No cumple"))</x:f>
        <x:v>Sin datos</x:v>
      </x:c>
      <x:c r="G15" s="5" t="str">
        <x:f>IF(COUNTIFS('Carga Semanal'!$A$2:$A$500,G$8,'Carga Semanal'!$B$2:$B$500,$A15)=0,"Sin datos",IF(COUNTIFS('Carga Semanal'!$A$2:$A$500,G$8,'Carga Semanal'!$B$2:$B$500,$A15,'Carga Semanal'!$I$2:$I$500,"Cumple")&gt;0,"Cumple","No cumple"))</x:f>
        <x:v>Sin datos</x:v>
      </x:c>
      <x:c r="H15" s="5" t="n">
        <x:f>COUNTIF(C15:G15,"Cumple")</x:f>
        <x:v>0</x:v>
      </x:c>
      <x:c r="I15" s="17" t="n">
        <x:f>IF(COUNTIF(C15:G15,"&lt;&gt;Sin datos")=0,0,H15/COUNTIF(C15:G15,"&lt;&gt;Sin datos"))</x:f>
        <x:v>0</x:v>
      </x:c>
      <x:c r="J15" s="5" t="n">
        <x:f>SUMIFS('Carga Semanal'!$D$2:$D$500,'Carga Semanal'!$B$2:$B$500,$A15)</x:f>
        <x:v>0</x:v>
      </x:c>
      <x:c r="K15" s="5" t="n">
        <x:f>SUMIFS('Carga Semanal'!$E$2:$E$500,'Carga Semanal'!$B$2:$B$500,$A15)</x:f>
        <x:v>0</x:v>
      </x:c>
      <x:c r="L15" s="5" t="n">
        <x:f>SUMIFS('Carga Semanal'!$F$2:$F$500,'Carga Semanal'!$B$2:$B$500,$A15)</x:f>
        <x:v>0</x:v>
      </x:c>
      <x:c r="M15" s="5" t="n">
        <x:f>SUMIFS('Carga Semanal'!$G$2:$G$500,'Carga Semanal'!$B$2:$B$500,$A15)</x:f>
        <x:v>0</x:v>
      </x:c>
      <x:c r="N15" s="5" t="n">
        <x:f>SUMIFS('Carga Semanal'!$H$2:$H$500,'Carga Semanal'!$B$2:$B$500,$A15)</x:f>
        <x:v>0</x:v>
      </x:c>
      <x:c r="O15" s="5" t="str">
        <x:f>IF(COUNTIF(C15:G15,"&lt;&gt;Sin datos")=0,"Sin datos",IF(I15=1,"Cumple","No cumple"))</x:f>
        <x:v>Sin datos</x:v>
      </x:c>
    </x:row>
    <x:row r="16">
      <x:c r="A16" s="7" t="str">
        <x:v>30181</x:v>
      </x:c>
      <x:c r="B16" s="5" t="str">
        <x:v>Mall Plaza Los Angeles</x:v>
      </x:c>
      <x:c r="C16" s="5" t="str">
        <x:f>IF(COUNTIFS('Carga Semanal'!$A$2:$A$500,C$8,'Carga Semanal'!$B$2:$B$500,$A16)=0,"Sin datos",IF(COUNTIFS('Carga Semanal'!$A$2:$A$500,C$8,'Carga Semanal'!$B$2:$B$500,$A16,'Carga Semanal'!$I$2:$I$500,"Cumple")&gt;0,"Cumple","No cumple"))</x:f>
        <x:v>Sin datos</x:v>
      </x:c>
      <x:c r="D16" s="5" t="str">
        <x:f>IF(COUNTIFS('Carga Semanal'!$A$2:$A$500,D$8,'Carga Semanal'!$B$2:$B$500,$A16)=0,"Sin datos",IF(COUNTIFS('Carga Semanal'!$A$2:$A$500,D$8,'Carga Semanal'!$B$2:$B$500,$A16,'Carga Semanal'!$I$2:$I$500,"Cumple")&gt;0,"Cumple","No cumple"))</x:f>
        <x:v>Sin datos</x:v>
      </x:c>
      <x:c r="E16" s="5" t="str">
        <x:f>IF(COUNTIFS('Carga Semanal'!$A$2:$A$500,E$8,'Carga Semanal'!$B$2:$B$500,$A16)=0,"Sin datos",IF(COUNTIFS('Carga Semanal'!$A$2:$A$500,E$8,'Carga Semanal'!$B$2:$B$500,$A16,'Carga Semanal'!$I$2:$I$500,"Cumple")&gt;0,"Cumple","No cumple"))</x:f>
        <x:v>Sin datos</x:v>
      </x:c>
      <x:c r="F16" s="5" t="str">
        <x:f>IF(COUNTIFS('Carga Semanal'!$A$2:$A$500,F$8,'Carga Semanal'!$B$2:$B$500,$A16)=0,"Sin datos",IF(COUNTIFS('Carga Semanal'!$A$2:$A$500,F$8,'Carga Semanal'!$B$2:$B$500,$A16,'Carga Semanal'!$I$2:$I$500,"Cumple")&gt;0,"Cumple","No cumple"))</x:f>
        <x:v>Sin datos</x:v>
      </x:c>
      <x:c r="G16" s="5" t="str">
        <x:f>IF(COUNTIFS('Carga Semanal'!$A$2:$A$500,G$8,'Carga Semanal'!$B$2:$B$500,$A16)=0,"Sin datos",IF(COUNTIFS('Carga Semanal'!$A$2:$A$500,G$8,'Carga Semanal'!$B$2:$B$500,$A16,'Carga Semanal'!$I$2:$I$500,"Cumple")&gt;0,"Cumple","No cumple"))</x:f>
        <x:v>Sin datos</x:v>
      </x:c>
      <x:c r="H16" s="5" t="n">
        <x:f>COUNTIF(C16:G16,"Cumple")</x:f>
        <x:v>0</x:v>
      </x:c>
      <x:c r="I16" s="17" t="n">
        <x:f>IF(COUNTIF(C16:G16,"&lt;&gt;Sin datos")=0,0,H16/COUNTIF(C16:G16,"&lt;&gt;Sin datos"))</x:f>
        <x:v>0</x:v>
      </x:c>
      <x:c r="J16" s="5" t="n">
        <x:f>SUMIFS('Carga Semanal'!$D$2:$D$500,'Carga Semanal'!$B$2:$B$500,$A16)</x:f>
        <x:v>0</x:v>
      </x:c>
      <x:c r="K16" s="5" t="n">
        <x:f>SUMIFS('Carga Semanal'!$E$2:$E$500,'Carga Semanal'!$B$2:$B$500,$A16)</x:f>
        <x:v>0</x:v>
      </x:c>
      <x:c r="L16" s="5" t="n">
        <x:f>SUMIFS('Carga Semanal'!$F$2:$F$500,'Carga Semanal'!$B$2:$B$500,$A16)</x:f>
        <x:v>0</x:v>
      </x:c>
      <x:c r="M16" s="5" t="n">
        <x:f>SUMIFS('Carga Semanal'!$G$2:$G$500,'Carga Semanal'!$B$2:$B$500,$A16)</x:f>
        <x:v>0</x:v>
      </x:c>
      <x:c r="N16" s="5" t="n">
        <x:f>SUMIFS('Carga Semanal'!$H$2:$H$500,'Carga Semanal'!$B$2:$B$500,$A16)</x:f>
        <x:v>0</x:v>
      </x:c>
      <x:c r="O16" s="5" t="str">
        <x:f>IF(COUNTIF(C16:G16,"&lt;&gt;Sin datos")=0,"Sin datos",IF(I16=1,"Cumple","No cumple"))</x:f>
        <x:v>Sin datos</x:v>
      </x:c>
    </x:row>
    <x:row r="17">
      <x:c r="A17" s="7" t="str">
        <x:v>18690</x:v>
      </x:c>
      <x:c r="B17" s="5" t="str">
        <x:v>Plaza Bio Bio</x:v>
      </x:c>
      <x:c r="C17" s="5" t="str">
        <x:f>IF(COUNTIFS('Carga Semanal'!$A$2:$A$500,C$8,'Carga Semanal'!$B$2:$B$500,$A17)=0,"Sin datos",IF(COUNTIFS('Carga Semanal'!$A$2:$A$500,C$8,'Carga Semanal'!$B$2:$B$500,$A17,'Carga Semanal'!$I$2:$I$500,"Cumple")&gt;0,"Cumple","No cumple"))</x:f>
        <x:v>Sin datos</x:v>
      </x:c>
      <x:c r="D17" s="5" t="str">
        <x:f>IF(COUNTIFS('Carga Semanal'!$A$2:$A$500,D$8,'Carga Semanal'!$B$2:$B$500,$A17)=0,"Sin datos",IF(COUNTIFS('Carga Semanal'!$A$2:$A$500,D$8,'Carga Semanal'!$B$2:$B$500,$A17,'Carga Semanal'!$I$2:$I$500,"Cumple")&gt;0,"Cumple","No cumple"))</x:f>
        <x:v>Sin datos</x:v>
      </x:c>
      <x:c r="E17" s="5" t="str">
        <x:f>IF(COUNTIFS('Carga Semanal'!$A$2:$A$500,E$8,'Carga Semanal'!$B$2:$B$500,$A17)=0,"Sin datos",IF(COUNTIFS('Carga Semanal'!$A$2:$A$500,E$8,'Carga Semanal'!$B$2:$B$500,$A17,'Carga Semanal'!$I$2:$I$500,"Cumple")&gt;0,"Cumple","No cumple"))</x:f>
        <x:v>Sin datos</x:v>
      </x:c>
      <x:c r="F17" s="5" t="str">
        <x:f>IF(COUNTIFS('Carga Semanal'!$A$2:$A$500,F$8,'Carga Semanal'!$B$2:$B$500,$A17)=0,"Sin datos",IF(COUNTIFS('Carga Semanal'!$A$2:$A$500,F$8,'Carga Semanal'!$B$2:$B$500,$A17,'Carga Semanal'!$I$2:$I$500,"Cumple")&gt;0,"Cumple","No cumple"))</x:f>
        <x:v>Sin datos</x:v>
      </x:c>
      <x:c r="G17" s="5" t="str">
        <x:f>IF(COUNTIFS('Carga Semanal'!$A$2:$A$500,G$8,'Carga Semanal'!$B$2:$B$500,$A17)=0,"Sin datos",IF(COUNTIFS('Carga Semanal'!$A$2:$A$500,G$8,'Carga Semanal'!$B$2:$B$500,$A17,'Carga Semanal'!$I$2:$I$500,"Cumple")&gt;0,"Cumple","No cumple"))</x:f>
        <x:v>Sin datos</x:v>
      </x:c>
      <x:c r="H17" s="5" t="n">
        <x:f>COUNTIF(C17:G17,"Cumple")</x:f>
        <x:v>0</x:v>
      </x:c>
      <x:c r="I17" s="17" t="n">
        <x:f>IF(COUNTIF(C17:G17,"&lt;&gt;Sin datos")=0,0,H17/COUNTIF(C17:G17,"&lt;&gt;Sin datos"))</x:f>
        <x:v>0</x:v>
      </x:c>
      <x:c r="J17" s="5" t="n">
        <x:f>SUMIFS('Carga Semanal'!$D$2:$D$500,'Carga Semanal'!$B$2:$B$500,$A17)</x:f>
        <x:v>0</x:v>
      </x:c>
      <x:c r="K17" s="5" t="n">
        <x:f>SUMIFS('Carga Semanal'!$E$2:$E$500,'Carga Semanal'!$B$2:$B$500,$A17)</x:f>
        <x:v>0</x:v>
      </x:c>
      <x:c r="L17" s="5" t="n">
        <x:f>SUMIFS('Carga Semanal'!$F$2:$F$500,'Carga Semanal'!$B$2:$B$500,$A17)</x:f>
        <x:v>0</x:v>
      </x:c>
      <x:c r="M17" s="5" t="n">
        <x:f>SUMIFS('Carga Semanal'!$G$2:$G$500,'Carga Semanal'!$B$2:$B$500,$A17)</x:f>
        <x:v>0</x:v>
      </x:c>
      <x:c r="N17" s="5" t="n">
        <x:f>SUMIFS('Carga Semanal'!$H$2:$H$500,'Carga Semanal'!$B$2:$B$500,$A17)</x:f>
        <x:v>0</x:v>
      </x:c>
      <x:c r="O17" s="5" t="str">
        <x:f>IF(COUNTIF(C17:G17,"&lt;&gt;Sin datos")=0,"Sin datos",IF(I17=1,"Cumple","No cumple"))</x:f>
        <x:v>Sin datos</x:v>
      </x:c>
    </x:row>
    <x:row r="18">
      <x:c r="A18" s="7" t="str">
        <x:v>18174</x:v>
      </x:c>
      <x:c r="B18" s="5" t="str">
        <x:v>Plaza Trebol</x:v>
      </x:c>
      <x:c r="C18" s="5" t="str">
        <x:f>IF(COUNTIFS('Carga Semanal'!$A$2:$A$500,C$8,'Carga Semanal'!$B$2:$B$500,$A18)=0,"Sin datos",IF(COUNTIFS('Carga Semanal'!$A$2:$A$500,C$8,'Carga Semanal'!$B$2:$B$500,$A18,'Carga Semanal'!$I$2:$I$500,"Cumple")&gt;0,"Cumple","No cumple"))</x:f>
        <x:v>Sin datos</x:v>
      </x:c>
      <x:c r="D18" s="5" t="str">
        <x:f>IF(COUNTIFS('Carga Semanal'!$A$2:$A$500,D$8,'Carga Semanal'!$B$2:$B$500,$A18)=0,"Sin datos",IF(COUNTIFS('Carga Semanal'!$A$2:$A$500,D$8,'Carga Semanal'!$B$2:$B$500,$A18,'Carga Semanal'!$I$2:$I$500,"Cumple")&gt;0,"Cumple","No cumple"))</x:f>
        <x:v>Sin datos</x:v>
      </x:c>
      <x:c r="E18" s="5" t="str">
        <x:f>IF(COUNTIFS('Carga Semanal'!$A$2:$A$500,E$8,'Carga Semanal'!$B$2:$B$500,$A18)=0,"Sin datos",IF(COUNTIFS('Carga Semanal'!$A$2:$A$500,E$8,'Carga Semanal'!$B$2:$B$500,$A18,'Carga Semanal'!$I$2:$I$500,"Cumple")&gt;0,"Cumple","No cumple"))</x:f>
        <x:v>Sin datos</x:v>
      </x:c>
      <x:c r="F18" s="5" t="str">
        <x:f>IF(COUNTIFS('Carga Semanal'!$A$2:$A$500,F$8,'Carga Semanal'!$B$2:$B$500,$A18)=0,"Sin datos",IF(COUNTIFS('Carga Semanal'!$A$2:$A$500,F$8,'Carga Semanal'!$B$2:$B$500,$A18,'Carga Semanal'!$I$2:$I$500,"Cumple")&gt;0,"Cumple","No cumple"))</x:f>
        <x:v>Sin datos</x:v>
      </x:c>
      <x:c r="G18" s="5" t="str">
        <x:f>IF(COUNTIFS('Carga Semanal'!$A$2:$A$500,G$8,'Carga Semanal'!$B$2:$B$500,$A18)=0,"Sin datos",IF(COUNTIFS('Carga Semanal'!$A$2:$A$500,G$8,'Carga Semanal'!$B$2:$B$500,$A18,'Carga Semanal'!$I$2:$I$500,"Cumple")&gt;0,"Cumple","No cumple"))</x:f>
        <x:v>Sin datos</x:v>
      </x:c>
      <x:c r="H18" s="5" t="n">
        <x:f>COUNTIF(C18:G18,"Cumple")</x:f>
        <x:v>0</x:v>
      </x:c>
      <x:c r="I18" s="17" t="n">
        <x:f>IF(COUNTIF(C18:G18,"&lt;&gt;Sin datos")=0,0,H18/COUNTIF(C18:G18,"&lt;&gt;Sin datos"))</x:f>
        <x:v>0</x:v>
      </x:c>
      <x:c r="J18" s="5" t="n">
        <x:f>SUMIFS('Carga Semanal'!$D$2:$D$500,'Carga Semanal'!$B$2:$B$500,$A18)</x:f>
        <x:v>0</x:v>
      </x:c>
      <x:c r="K18" s="5" t="n">
        <x:f>SUMIFS('Carga Semanal'!$E$2:$E$500,'Carga Semanal'!$B$2:$B$500,$A18)</x:f>
        <x:v>0</x:v>
      </x:c>
      <x:c r="L18" s="5" t="n">
        <x:f>SUMIFS('Carga Semanal'!$F$2:$F$500,'Carga Semanal'!$B$2:$B$500,$A18)</x:f>
        <x:v>0</x:v>
      </x:c>
      <x:c r="M18" s="5" t="n">
        <x:f>SUMIFS('Carga Semanal'!$G$2:$G$500,'Carga Semanal'!$B$2:$B$500,$A18)</x:f>
        <x:v>0</x:v>
      </x:c>
      <x:c r="N18" s="5" t="n">
        <x:f>SUMIFS('Carga Semanal'!$H$2:$H$500,'Carga Semanal'!$B$2:$B$500,$A18)</x:f>
        <x:v>0</x:v>
      </x:c>
      <x:c r="O18" s="5" t="str">
        <x:f>IF(COUNTIF(C18:G18,"&lt;&gt;Sin datos")=0,"Sin datos",IF(I18=1,"Cumple","No cumple"))</x:f>
        <x:v>Sin datos</x:v>
      </x:c>
    </x:row>
    <x:row r="19">
      <x:c r="A19" s="7" t="str">
        <x:v>14086</x:v>
      </x:c>
      <x:c r="B19" s="5" t="str">
        <x:v>Plaza Vespucio</x:v>
      </x:c>
      <x:c r="C19" s="5" t="str">
        <x:f>IF(COUNTIFS('Carga Semanal'!$A$2:$A$500,C$8,'Carga Semanal'!$B$2:$B$500,$A19)=0,"Sin datos",IF(COUNTIFS('Carga Semanal'!$A$2:$A$500,C$8,'Carga Semanal'!$B$2:$B$500,$A19,'Carga Semanal'!$I$2:$I$500,"Cumple")&gt;0,"Cumple","No cumple"))</x:f>
        <x:v>Sin datos</x:v>
      </x:c>
      <x:c r="D19" s="5" t="str">
        <x:f>IF(COUNTIFS('Carga Semanal'!$A$2:$A$500,D$8,'Carga Semanal'!$B$2:$B$500,$A19)=0,"Sin datos",IF(COUNTIFS('Carga Semanal'!$A$2:$A$500,D$8,'Carga Semanal'!$B$2:$B$500,$A19,'Carga Semanal'!$I$2:$I$500,"Cumple")&gt;0,"Cumple","No cumple"))</x:f>
        <x:v>Sin datos</x:v>
      </x:c>
      <x:c r="E19" s="5" t="str">
        <x:f>IF(COUNTIFS('Carga Semanal'!$A$2:$A$500,E$8,'Carga Semanal'!$B$2:$B$500,$A19)=0,"Sin datos",IF(COUNTIFS('Carga Semanal'!$A$2:$A$500,E$8,'Carga Semanal'!$B$2:$B$500,$A19,'Carga Semanal'!$I$2:$I$500,"Cumple")&gt;0,"Cumple","No cumple"))</x:f>
        <x:v>Sin datos</x:v>
      </x:c>
      <x:c r="F19" s="5" t="str">
        <x:f>IF(COUNTIFS('Carga Semanal'!$A$2:$A$500,F$8,'Carga Semanal'!$B$2:$B$500,$A19)=0,"Sin datos",IF(COUNTIFS('Carga Semanal'!$A$2:$A$500,F$8,'Carga Semanal'!$B$2:$B$500,$A19,'Carga Semanal'!$I$2:$I$500,"Cumple")&gt;0,"Cumple","No cumple"))</x:f>
        <x:v>Sin datos</x:v>
      </x:c>
      <x:c r="G19" s="5" t="str">
        <x:f>IF(COUNTIFS('Carga Semanal'!$A$2:$A$500,G$8,'Carga Semanal'!$B$2:$B$500,$A19)=0,"Sin datos",IF(COUNTIFS('Carga Semanal'!$A$2:$A$500,G$8,'Carga Semanal'!$B$2:$B$500,$A19,'Carga Semanal'!$I$2:$I$500,"Cumple")&gt;0,"Cumple","No cumple"))</x:f>
        <x:v>Sin datos</x:v>
      </x:c>
      <x:c r="H19" s="5" t="n">
        <x:f>COUNTIF(C19:G19,"Cumple")</x:f>
        <x:v>0</x:v>
      </x:c>
      <x:c r="I19" s="17" t="n">
        <x:f>IF(COUNTIF(C19:G19,"&lt;&gt;Sin datos")=0,0,H19/COUNTIF(C19:G19,"&lt;&gt;Sin datos"))</x:f>
        <x:v>0</x:v>
      </x:c>
      <x:c r="J19" s="5" t="n">
        <x:f>SUMIFS('Carga Semanal'!$D$2:$D$500,'Carga Semanal'!$B$2:$B$500,$A19)</x:f>
        <x:v>0</x:v>
      </x:c>
      <x:c r="K19" s="5" t="n">
        <x:f>SUMIFS('Carga Semanal'!$E$2:$E$500,'Carga Semanal'!$B$2:$B$500,$A19)</x:f>
        <x:v>0</x:v>
      </x:c>
      <x:c r="L19" s="5" t="n">
        <x:f>SUMIFS('Carga Semanal'!$F$2:$F$500,'Carga Semanal'!$B$2:$B$500,$A19)</x:f>
        <x:v>0</x:v>
      </x:c>
      <x:c r="M19" s="5" t="n">
        <x:f>SUMIFS('Carga Semanal'!$G$2:$G$500,'Carga Semanal'!$B$2:$B$500,$A19)</x:f>
        <x:v>0</x:v>
      </x:c>
      <x:c r="N19" s="5" t="n">
        <x:f>SUMIFS('Carga Semanal'!$H$2:$H$500,'Carga Semanal'!$B$2:$B$500,$A19)</x:f>
        <x:v>0</x:v>
      </x:c>
      <x:c r="O19" s="5" t="str">
        <x:f>IF(COUNTIF(C19:G19,"&lt;&gt;Sin datos")=0,"Sin datos",IF(I19=1,"Cumple","No cumple"))</x:f>
        <x:v>Sin datos</x:v>
      </x:c>
    </x:row>
    <x:row r="20">
      <x:c r="A20" s="7" t="str">
        <x:v>16284</x:v>
      </x:c>
      <x:c r="B20" s="5" t="str">
        <x:v>Los Andes Fc</x:v>
      </x:c>
      <x:c r="C20" s="5" t="str">
        <x:f>IF(COUNTIFS('Carga Semanal'!$A$2:$A$500,C$8,'Carga Semanal'!$B$2:$B$500,$A20)=0,"Sin datos",IF(COUNTIFS('Carga Semanal'!$A$2:$A$500,C$8,'Carga Semanal'!$B$2:$B$500,$A20,'Carga Semanal'!$I$2:$I$500,"Cumple")&gt;0,"Cumple","No cumple"))</x:f>
        <x:v>Sin datos</x:v>
      </x:c>
      <x:c r="D20" s="5" t="str">
        <x:f>IF(COUNTIFS('Carga Semanal'!$A$2:$A$500,D$8,'Carga Semanal'!$B$2:$B$500,$A20)=0,"Sin datos",IF(COUNTIFS('Carga Semanal'!$A$2:$A$500,D$8,'Carga Semanal'!$B$2:$B$500,$A20,'Carga Semanal'!$I$2:$I$500,"Cumple")&gt;0,"Cumple","No cumple"))</x:f>
        <x:v>Sin datos</x:v>
      </x:c>
      <x:c r="E20" s="5" t="str">
        <x:f>IF(COUNTIFS('Carga Semanal'!$A$2:$A$500,E$8,'Carga Semanal'!$B$2:$B$500,$A20)=0,"Sin datos",IF(COUNTIFS('Carga Semanal'!$A$2:$A$500,E$8,'Carga Semanal'!$B$2:$B$500,$A20,'Carga Semanal'!$I$2:$I$500,"Cumple")&gt;0,"Cumple","No cumple"))</x:f>
        <x:v>Sin datos</x:v>
      </x:c>
      <x:c r="F20" s="5" t="str">
        <x:f>IF(COUNTIFS('Carga Semanal'!$A$2:$A$500,F$8,'Carga Semanal'!$B$2:$B$500,$A20)=0,"Sin datos",IF(COUNTIFS('Carga Semanal'!$A$2:$A$500,F$8,'Carga Semanal'!$B$2:$B$500,$A20,'Carga Semanal'!$I$2:$I$500,"Cumple")&gt;0,"Cumple","No cumple"))</x:f>
        <x:v>Sin datos</x:v>
      </x:c>
      <x:c r="G20" s="5" t="str">
        <x:f>IF(COUNTIFS('Carga Semanal'!$A$2:$A$500,G$8,'Carga Semanal'!$B$2:$B$500,$A20)=0,"Sin datos",IF(COUNTIFS('Carga Semanal'!$A$2:$A$500,G$8,'Carga Semanal'!$B$2:$B$500,$A20,'Carga Semanal'!$I$2:$I$500,"Cumple")&gt;0,"Cumple","No cumple"))</x:f>
        <x:v>Sin datos</x:v>
      </x:c>
      <x:c r="H20" s="5" t="n">
        <x:f>COUNTIF(C20:G20,"Cumple")</x:f>
        <x:v>0</x:v>
      </x:c>
      <x:c r="I20" s="17" t="n">
        <x:f>IF(COUNTIF(C20:G20,"&lt;&gt;Sin datos")=0,0,H20/COUNTIF(C20:G20,"&lt;&gt;Sin datos"))</x:f>
        <x:v>0</x:v>
      </x:c>
      <x:c r="J20" s="5" t="n">
        <x:f>SUMIFS('Carga Semanal'!$D$2:$D$500,'Carga Semanal'!$B$2:$B$500,$A20)</x:f>
        <x:v>0</x:v>
      </x:c>
      <x:c r="K20" s="5" t="n">
        <x:f>SUMIFS('Carga Semanal'!$E$2:$E$500,'Carga Semanal'!$B$2:$B$500,$A20)</x:f>
        <x:v>0</x:v>
      </x:c>
      <x:c r="L20" s="5" t="n">
        <x:f>SUMIFS('Carga Semanal'!$F$2:$F$500,'Carga Semanal'!$B$2:$B$500,$A20)</x:f>
        <x:v>0</x:v>
      </x:c>
      <x:c r="M20" s="5" t="n">
        <x:f>SUMIFS('Carga Semanal'!$G$2:$G$500,'Carga Semanal'!$B$2:$B$500,$A20)</x:f>
        <x:v>0</x:v>
      </x:c>
      <x:c r="N20" s="5" t="n">
        <x:f>SUMIFS('Carga Semanal'!$H$2:$H$500,'Carga Semanal'!$B$2:$B$500,$A20)</x:f>
        <x:v>0</x:v>
      </x:c>
      <x:c r="O20" s="5" t="str">
        <x:f>IF(COUNTIF(C20:G20,"&lt;&gt;Sin datos")=0,"Sin datos",IF(I20=1,"Cumple","No cumple"))</x:f>
        <x:v>Sin datos</x:v>
      </x:c>
    </x:row>
    <x:row r="21">
      <x:c r="A21" s="7" t="str">
        <x:v>32403</x:v>
      </x:c>
      <x:c r="B21" s="5" t="str">
        <x:v>Chamisero</x:v>
      </x:c>
      <x:c r="C21" s="5" t="str">
        <x:f>IF(COUNTIFS('Carga Semanal'!$A$2:$A$500,C$8,'Carga Semanal'!$B$2:$B$500,$A21)=0,"Sin datos",IF(COUNTIFS('Carga Semanal'!$A$2:$A$500,C$8,'Carga Semanal'!$B$2:$B$500,$A21,'Carga Semanal'!$I$2:$I$500,"Cumple")&gt;0,"Cumple","No cumple"))</x:f>
        <x:v>Sin datos</x:v>
      </x:c>
      <x:c r="D21" s="5" t="str">
        <x:f>IF(COUNTIFS('Carga Semanal'!$A$2:$A$500,D$8,'Carga Semanal'!$B$2:$B$500,$A21)=0,"Sin datos",IF(COUNTIFS('Carga Semanal'!$A$2:$A$500,D$8,'Carga Semanal'!$B$2:$B$500,$A21,'Carga Semanal'!$I$2:$I$500,"Cumple")&gt;0,"Cumple","No cumple"))</x:f>
        <x:v>Sin datos</x:v>
      </x:c>
      <x:c r="E21" s="5" t="str">
        <x:f>IF(COUNTIFS('Carga Semanal'!$A$2:$A$500,E$8,'Carga Semanal'!$B$2:$B$500,$A21)=0,"Sin datos",IF(COUNTIFS('Carga Semanal'!$A$2:$A$500,E$8,'Carga Semanal'!$B$2:$B$500,$A21,'Carga Semanal'!$I$2:$I$500,"Cumple")&gt;0,"Cumple","No cumple"))</x:f>
        <x:v>Sin datos</x:v>
      </x:c>
      <x:c r="F21" s="5" t="str">
        <x:f>IF(COUNTIFS('Carga Semanal'!$A$2:$A$500,F$8,'Carga Semanal'!$B$2:$B$500,$A21)=0,"Sin datos",IF(COUNTIFS('Carga Semanal'!$A$2:$A$500,F$8,'Carga Semanal'!$B$2:$B$500,$A21,'Carga Semanal'!$I$2:$I$500,"Cumple")&gt;0,"Cumple","No cumple"))</x:f>
        <x:v>Sin datos</x:v>
      </x:c>
      <x:c r="G21" s="5" t="str">
        <x:f>IF(COUNTIFS('Carga Semanal'!$A$2:$A$500,G$8,'Carga Semanal'!$B$2:$B$500,$A21)=0,"Sin datos",IF(COUNTIFS('Carga Semanal'!$A$2:$A$500,G$8,'Carga Semanal'!$B$2:$B$500,$A21,'Carga Semanal'!$I$2:$I$500,"Cumple")&gt;0,"Cumple","No cumple"))</x:f>
        <x:v>Sin datos</x:v>
      </x:c>
      <x:c r="H21" s="5" t="n">
        <x:f>COUNTIF(C21:G21,"Cumple")</x:f>
        <x:v>0</x:v>
      </x:c>
      <x:c r="I21" s="17" t="n">
        <x:f>IF(COUNTIF(C21:G21,"&lt;&gt;Sin datos")=0,0,H21/COUNTIF(C21:G21,"&lt;&gt;Sin datos"))</x:f>
        <x:v>0</x:v>
      </x:c>
      <x:c r="J21" s="5" t="n">
        <x:f>SUMIFS('Carga Semanal'!$D$2:$D$500,'Carga Semanal'!$B$2:$B$500,$A21)</x:f>
        <x:v>0</x:v>
      </x:c>
      <x:c r="K21" s="5" t="n">
        <x:f>SUMIFS('Carga Semanal'!$E$2:$E$500,'Carga Semanal'!$B$2:$B$500,$A21)</x:f>
        <x:v>0</x:v>
      </x:c>
      <x:c r="L21" s="5" t="n">
        <x:f>SUMIFS('Carga Semanal'!$F$2:$F$500,'Carga Semanal'!$B$2:$B$500,$A21)</x:f>
        <x:v>0</x:v>
      </x:c>
      <x:c r="M21" s="5" t="n">
        <x:f>SUMIFS('Carga Semanal'!$G$2:$G$500,'Carga Semanal'!$B$2:$B$500,$A21)</x:f>
        <x:v>0</x:v>
      </x:c>
      <x:c r="N21" s="5" t="n">
        <x:f>SUMIFS('Carga Semanal'!$H$2:$H$500,'Carga Semanal'!$B$2:$B$500,$A21)</x:f>
        <x:v>0</x:v>
      </x:c>
      <x:c r="O21" s="5" t="str">
        <x:f>IF(COUNTIF(C21:G21,"&lt;&gt;Sin datos")=0,"Sin datos",IF(I21=1,"Cumple","No cumple"))</x:f>
        <x:v>Sin datos</x:v>
      </x:c>
    </x:row>
  </x:sheetData>
  <x:mergeCells>
    <x:mergeCell ref="A1:J1"/>
  </x:mergeCells>
  <x:conditionalFormatting sqref="I9:I21">
    <x:cfRule type="dataBar" priority="1">
      <x:dataBar>
        <x:cfvo type="min"/>
        <x:cfvo type="max"/>
        <x:color rgb="FFD62300"/>
      </x:dataBar>
    </x:cfRule>
  </x:conditionalFormatting>
  <x:conditionalFormatting sqref="C9:O21">
    <x:cfRule type="containsText" dxfId="0" priority="2" operator="containsText" text="Cumple"/>
    <x:cfRule type="containsText" dxfId="1" priority="3" operator="containsText" text="No cumple"/>
    <x:cfRule type="containsText" dxfId="2" priority="4" operator="containsText" text="Sin dato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 t="str">
        <x:v>Semana</x:v>
      </x:c>
      <x:c r="B1" s="3" t="str">
        <x:v>Codigo</x:v>
      </x:c>
      <x:c r="C1" s="3" t="str">
        <x:v>Tienda</x:v>
      </x:c>
      <x:c r="D1" s="3" t="str">
        <x:v>P. incorrectos</x:v>
      </x:c>
      <x:c r="E1" s="3" t="str">
        <x:v>Dev. Uber</x:v>
      </x:c>
      <x:c r="F1" s="3" t="str">
        <x:v>Disp. rechazadas</x:v>
      </x:c>
      <x:c r="G1" s="3" t="str">
        <x:v>Disp. aprobada</x:v>
      </x:c>
      <x:c r="H1" s="3" t="str">
        <x:v>Sin disputas</x:v>
      </x:c>
      <x:c r="I1" s="3" t="str">
        <x:v>Cumple?</x:v>
      </x:c>
    </x:row>
    <x:row r="2">
      <x:c r="A2" s="5"/>
      <x:c r="B2" s="7"/>
      <x:c r="C2" s="5" t="str">
        <x:f>IF(B2="","",IFERROR(XLOOKUP(B2,'Locales'!$A$2:$A$200,'Locales'!$B$2:$B$200),"Codigo no encontrado"))</x:f>
      </x:c>
      <x:c r="D2" s="8"/>
      <x:c r="E2" s="8"/>
      <x:c r="F2" s="8"/>
      <x:c r="G2" s="8"/>
      <x:c r="H2" s="8" t="str">
        <x:f>IF(COUNTA(D2:G2)=0,"",D2-E2-F2-G2)</x:f>
      </x:c>
      <x:c r="I2" s="5" t="str">
        <x:f>IF(H2="","Sin datos",IF(H2&lt;='Parametros'!$B$3,"Cumple","No cumple"))</x:f>
        <x:v>Sin datos</x:v>
      </x:c>
    </x:row>
    <x:row r="3">
      <x:c r="A3" s="5"/>
      <x:c r="B3" s="7"/>
      <x:c r="C3" s="5" t="str">
        <x:f>IF(B3="","",IFERROR(XLOOKUP(B3,'Locales'!$A$2:$A$200,'Locales'!$B$2:$B$200),"Codigo no encontrado"))</x:f>
      </x:c>
      <x:c r="D3" s="8"/>
      <x:c r="E3" s="8"/>
      <x:c r="F3" s="8"/>
      <x:c r="G3" s="8"/>
      <x:c r="H3" s="8" t="str">
        <x:f>IF(COUNTA(D3:G3)=0,"",D3-E3-F3-G3)</x:f>
      </x:c>
      <x:c r="I3" s="5" t="str">
        <x:f>IF(H3="","Sin datos",IF(H3&lt;='Parametros'!$B$3,"Cumple","No cumple"))</x:f>
        <x:v>Sin datos</x:v>
      </x:c>
    </x:row>
    <x:row r="4">
      <x:c r="A4" s="5"/>
      <x:c r="B4" s="7"/>
      <x:c r="C4" s="5" t="str">
        <x:f>IF(B4="","",IFERROR(XLOOKUP(B4,'Locales'!$A$2:$A$200,'Locales'!$B$2:$B$200),"Codigo no encontrado"))</x:f>
      </x:c>
      <x:c r="D4" s="8"/>
      <x:c r="E4" s="8"/>
      <x:c r="F4" s="8"/>
      <x:c r="G4" s="8"/>
      <x:c r="H4" s="8" t="str">
        <x:f>IF(COUNTA(D4:G4)=0,"",D4-E4-F4-G4)</x:f>
      </x:c>
      <x:c r="I4" s="5" t="str">
        <x:f>IF(H4="","Sin datos",IF(H4&lt;='Parametros'!$B$3,"Cumple","No cumple"))</x:f>
        <x:v>Sin datos</x:v>
      </x:c>
    </x:row>
    <x:row r="5">
      <x:c r="A5" s="5"/>
      <x:c r="B5" s="7"/>
      <x:c r="C5" s="5" t="str">
        <x:f>IF(B5="","",IFERROR(XLOOKUP(B5,'Locales'!$A$2:$A$200,'Locales'!$B$2:$B$200),"Codigo no encontrado"))</x:f>
      </x:c>
      <x:c r="D5" s="8"/>
      <x:c r="E5" s="8"/>
      <x:c r="F5" s="8"/>
      <x:c r="G5" s="8"/>
      <x:c r="H5" s="8" t="str">
        <x:f>IF(COUNTA(D5:G5)=0,"",D5-E5-F5-G5)</x:f>
      </x:c>
      <x:c r="I5" s="5" t="str">
        <x:f>IF(H5="","Sin datos",IF(H5&lt;='Parametros'!$B$3,"Cumple","No cumple"))</x:f>
        <x:v>Sin datos</x:v>
      </x:c>
    </x:row>
    <x:row r="6">
      <x:c r="A6" s="5"/>
      <x:c r="B6" s="7"/>
      <x:c r="C6" s="5" t="str">
        <x:f>IF(B6="","",IFERROR(XLOOKUP(B6,'Locales'!$A$2:$A$200,'Locales'!$B$2:$B$200),"Codigo no encontrado"))</x:f>
      </x:c>
      <x:c r="D6" s="8"/>
      <x:c r="E6" s="8"/>
      <x:c r="F6" s="8"/>
      <x:c r="G6" s="8"/>
      <x:c r="H6" s="8" t="str">
        <x:f>IF(COUNTA(D6:G6)=0,"",D6-E6-F6-G6)</x:f>
      </x:c>
      <x:c r="I6" s="5" t="str">
        <x:f>IF(H6="","Sin datos",IF(H6&lt;='Parametros'!$B$3,"Cumple","No cumple"))</x:f>
        <x:v>Sin datos</x:v>
      </x:c>
    </x:row>
    <x:row r="7">
      <x:c r="A7" s="5"/>
      <x:c r="B7" s="7"/>
      <x:c r="C7" s="5" t="str">
        <x:f>IF(B7="","",IFERROR(XLOOKUP(B7,'Locales'!$A$2:$A$200,'Locales'!$B$2:$B$200),"Codigo no encontrado"))</x:f>
      </x:c>
      <x:c r="D7" s="8"/>
      <x:c r="E7" s="8"/>
      <x:c r="F7" s="8"/>
      <x:c r="G7" s="8"/>
      <x:c r="H7" s="8" t="str">
        <x:f>IF(COUNTA(D7:G7)=0,"",D7-E7-F7-G7)</x:f>
      </x:c>
      <x:c r="I7" s="5" t="str">
        <x:f>IF(H7="","Sin datos",IF(H7&lt;='Parametros'!$B$3,"Cumple","No cumple"))</x:f>
        <x:v>Sin datos</x:v>
      </x:c>
    </x:row>
    <x:row r="8">
      <x:c r="A8" s="5"/>
      <x:c r="B8" s="7"/>
      <x:c r="C8" s="5" t="str">
        <x:f>IF(B8="","",IFERROR(XLOOKUP(B8,'Locales'!$A$2:$A$200,'Locales'!$B$2:$B$200),"Codigo no encontrado"))</x:f>
      </x:c>
      <x:c r="D8" s="8"/>
      <x:c r="E8" s="8"/>
      <x:c r="F8" s="8"/>
      <x:c r="G8" s="8"/>
      <x:c r="H8" s="8" t="str">
        <x:f>IF(COUNTA(D8:G8)=0,"",D8-E8-F8-G8)</x:f>
      </x:c>
      <x:c r="I8" s="5" t="str">
        <x:f>IF(H8="","Sin datos",IF(H8&lt;='Parametros'!$B$3,"Cumple","No cumple"))</x:f>
        <x:v>Sin datos</x:v>
      </x:c>
    </x:row>
    <x:row r="9">
      <x:c r="A9" s="5"/>
      <x:c r="B9" s="7"/>
      <x:c r="C9" s="5" t="str">
        <x:f>IF(B9="","",IFERROR(XLOOKUP(B9,'Locales'!$A$2:$A$200,'Locales'!$B$2:$B$200),"Codigo no encontrado"))</x:f>
      </x:c>
      <x:c r="D9" s="8"/>
      <x:c r="E9" s="8"/>
      <x:c r="F9" s="8"/>
      <x:c r="G9" s="8"/>
      <x:c r="H9" s="8" t="str">
        <x:f>IF(COUNTA(D9:G9)=0,"",D9-E9-F9-G9)</x:f>
      </x:c>
      <x:c r="I9" s="5" t="str">
        <x:f>IF(H9="","Sin datos",IF(H9&lt;='Parametros'!$B$3,"Cumple","No cumple"))</x:f>
        <x:v>Sin datos</x:v>
      </x:c>
    </x:row>
    <x:row r="10">
      <x:c r="A10" s="5"/>
      <x:c r="B10" s="7"/>
      <x:c r="C10" s="5" t="str">
        <x:f>IF(B10="","",IFERROR(XLOOKUP(B10,'Locales'!$A$2:$A$200,'Locales'!$B$2:$B$200),"Codigo no encontrado"))</x:f>
      </x:c>
      <x:c r="D10" s="8"/>
      <x:c r="E10" s="8"/>
      <x:c r="F10" s="8"/>
      <x:c r="G10" s="8"/>
      <x:c r="H10" s="8" t="str">
        <x:f>IF(COUNTA(D10:G10)=0,"",D10-E10-F10-G10)</x:f>
      </x:c>
      <x:c r="I10" s="5" t="str">
        <x:f>IF(H10="","Sin datos",IF(H10&lt;='Parametros'!$B$3,"Cumple","No cumple"))</x:f>
        <x:v>Sin datos</x:v>
      </x:c>
    </x:row>
    <x:row r="11">
      <x:c r="A11" s="5"/>
      <x:c r="B11" s="7"/>
      <x:c r="C11" s="5" t="str">
        <x:f>IF(B11="","",IFERROR(XLOOKUP(B11,'Locales'!$A$2:$A$200,'Locales'!$B$2:$B$200),"Codigo no encontrado"))</x:f>
      </x:c>
      <x:c r="D11" s="8"/>
      <x:c r="E11" s="8"/>
      <x:c r="F11" s="8"/>
      <x:c r="G11" s="8"/>
      <x:c r="H11" s="8" t="str">
        <x:f>IF(COUNTA(D11:G11)=0,"",D11-E11-F11-G11)</x:f>
      </x:c>
      <x:c r="I11" s="5" t="str">
        <x:f>IF(H11="","Sin datos",IF(H11&lt;='Parametros'!$B$3,"Cumple","No cumple"))</x:f>
        <x:v>Sin datos</x:v>
      </x:c>
    </x:row>
    <x:row r="12">
      <x:c r="A12" s="5"/>
      <x:c r="B12" s="7"/>
      <x:c r="C12" s="5" t="str">
        <x:f>IF(B12="","",IFERROR(XLOOKUP(B12,'Locales'!$A$2:$A$200,'Locales'!$B$2:$B$200),"Codigo no encontrado"))</x:f>
      </x:c>
      <x:c r="D12" s="8"/>
      <x:c r="E12" s="8"/>
      <x:c r="F12" s="8"/>
      <x:c r="G12" s="8"/>
      <x:c r="H12" s="8" t="str">
        <x:f>IF(COUNTA(D12:G12)=0,"",D12-E12-F12-G12)</x:f>
      </x:c>
      <x:c r="I12" s="5" t="str">
        <x:f>IF(H12="","Sin datos",IF(H12&lt;='Parametros'!$B$3,"Cumple","No cumple"))</x:f>
        <x:v>Sin datos</x:v>
      </x:c>
    </x:row>
    <x:row r="13">
      <x:c r="A13" s="5"/>
      <x:c r="B13" s="7"/>
      <x:c r="C13" s="5" t="str">
        <x:f>IF(B13="","",IFERROR(XLOOKUP(B13,'Locales'!$A$2:$A$200,'Locales'!$B$2:$B$200),"Codigo no encontrado"))</x:f>
      </x:c>
      <x:c r="D13" s="8"/>
      <x:c r="E13" s="8"/>
      <x:c r="F13" s="8"/>
      <x:c r="G13" s="8"/>
      <x:c r="H13" s="8" t="str">
        <x:f>IF(COUNTA(D13:G13)=0,"",D13-E13-F13-G13)</x:f>
      </x:c>
      <x:c r="I13" s="5" t="str">
        <x:f>IF(H13="","Sin datos",IF(H13&lt;='Parametros'!$B$3,"Cumple","No cumple"))</x:f>
        <x:v>Sin datos</x:v>
      </x:c>
    </x:row>
    <x:row r="14">
      <x:c r="A14" s="5"/>
      <x:c r="B14" s="7"/>
      <x:c r="C14" s="5" t="str">
        <x:f>IF(B14="","",IFERROR(XLOOKUP(B14,'Locales'!$A$2:$A$200,'Locales'!$B$2:$B$200),"Codigo no encontrado"))</x:f>
      </x:c>
      <x:c r="D14" s="8"/>
      <x:c r="E14" s="8"/>
      <x:c r="F14" s="8"/>
      <x:c r="G14" s="8"/>
      <x:c r="H14" s="8" t="str">
        <x:f>IF(COUNTA(D14:G14)=0,"",D14-E14-F14-G14)</x:f>
      </x:c>
      <x:c r="I14" s="5" t="str">
        <x:f>IF(H14="","Sin datos",IF(H14&lt;='Parametros'!$B$3,"Cumple","No cumple"))</x:f>
        <x:v>Sin datos</x:v>
      </x:c>
    </x:row>
    <x:row r="15">
      <x:c r="A15" s="5"/>
      <x:c r="B15" s="7"/>
      <x:c r="C15" s="5" t="str">
        <x:f>IF(B15="","",IFERROR(XLOOKUP(B15,'Locales'!$A$2:$A$200,'Locales'!$B$2:$B$200),"Codigo no encontrado"))</x:f>
      </x:c>
      <x:c r="D15" s="8"/>
      <x:c r="E15" s="8"/>
      <x:c r="F15" s="8"/>
      <x:c r="G15" s="8"/>
      <x:c r="H15" s="8" t="str">
        <x:f>IF(COUNTA(D15:G15)=0,"",D15-E15-F15-G15)</x:f>
      </x:c>
      <x:c r="I15" s="5" t="str">
        <x:f>IF(H15="","Sin datos",IF(H15&lt;='Parametros'!$B$3,"Cumple","No cumple"))</x:f>
        <x:v>Sin datos</x:v>
      </x:c>
    </x:row>
    <x:row r="16">
      <x:c r="A16" s="5"/>
      <x:c r="B16" s="7"/>
      <x:c r="C16" s="5" t="str">
        <x:f>IF(B16="","",IFERROR(XLOOKUP(B16,'Locales'!$A$2:$A$200,'Locales'!$B$2:$B$200),"Codigo no encontrado"))</x:f>
      </x:c>
      <x:c r="D16" s="8"/>
      <x:c r="E16" s="8"/>
      <x:c r="F16" s="8"/>
      <x:c r="G16" s="8"/>
      <x:c r="H16" s="8" t="str">
        <x:f>IF(COUNTA(D16:G16)=0,"",D16-E16-F16-G16)</x:f>
      </x:c>
      <x:c r="I16" s="5" t="str">
        <x:f>IF(H16="","Sin datos",IF(H16&lt;='Parametros'!$B$3,"Cumple","No cumple"))</x:f>
        <x:v>Sin datos</x:v>
      </x:c>
    </x:row>
    <x:row r="17">
      <x:c r="A17" s="5"/>
      <x:c r="B17" s="7"/>
      <x:c r="C17" s="5" t="str">
        <x:f>IF(B17="","",IFERROR(XLOOKUP(B17,'Locales'!$A$2:$A$200,'Locales'!$B$2:$B$200),"Codigo no encontrado"))</x:f>
      </x:c>
      <x:c r="D17" s="8"/>
      <x:c r="E17" s="8"/>
      <x:c r="F17" s="8"/>
      <x:c r="G17" s="8"/>
      <x:c r="H17" s="8" t="str">
        <x:f>IF(COUNTA(D17:G17)=0,"",D17-E17-F17-G17)</x:f>
      </x:c>
      <x:c r="I17" s="5" t="str">
        <x:f>IF(H17="","Sin datos",IF(H17&lt;='Parametros'!$B$3,"Cumple","No cumple"))</x:f>
        <x:v>Sin datos</x:v>
      </x:c>
    </x:row>
    <x:row r="18">
      <x:c r="A18" s="5"/>
      <x:c r="B18" s="7"/>
      <x:c r="C18" s="5" t="str">
        <x:f>IF(B18="","",IFERROR(XLOOKUP(B18,'Locales'!$A$2:$A$200,'Locales'!$B$2:$B$200),"Codigo no encontrado"))</x:f>
      </x:c>
      <x:c r="D18" s="8"/>
      <x:c r="E18" s="8"/>
      <x:c r="F18" s="8"/>
      <x:c r="G18" s="8"/>
      <x:c r="H18" s="8" t="str">
        <x:f>IF(COUNTA(D18:G18)=0,"",D18-E18-F18-G18)</x:f>
      </x:c>
      <x:c r="I18" s="5" t="str">
        <x:f>IF(H18="","Sin datos",IF(H18&lt;='Parametros'!$B$3,"Cumple","No cumple"))</x:f>
        <x:v>Sin datos</x:v>
      </x:c>
    </x:row>
    <x:row r="19">
      <x:c r="A19" s="5"/>
      <x:c r="B19" s="7"/>
      <x:c r="C19" s="5" t="str">
        <x:f>IF(B19="","",IFERROR(XLOOKUP(B19,'Locales'!$A$2:$A$200,'Locales'!$B$2:$B$200),"Codigo no encontrado"))</x:f>
      </x:c>
      <x:c r="D19" s="8"/>
      <x:c r="E19" s="8"/>
      <x:c r="F19" s="8"/>
      <x:c r="G19" s="8"/>
      <x:c r="H19" s="8" t="str">
        <x:f>IF(COUNTA(D19:G19)=0,"",D19-E19-F19-G19)</x:f>
      </x:c>
      <x:c r="I19" s="5" t="str">
        <x:f>IF(H19="","Sin datos",IF(H19&lt;='Parametros'!$B$3,"Cumple","No cumple"))</x:f>
        <x:v>Sin datos</x:v>
      </x:c>
    </x:row>
    <x:row r="20">
      <x:c r="A20" s="5"/>
      <x:c r="B20" s="7"/>
      <x:c r="C20" s="5" t="str">
        <x:f>IF(B20="","",IFERROR(XLOOKUP(B20,'Locales'!$A$2:$A$200,'Locales'!$B$2:$B$200),"Codigo no encontrado"))</x:f>
      </x:c>
      <x:c r="D20" s="8"/>
      <x:c r="E20" s="8"/>
      <x:c r="F20" s="8"/>
      <x:c r="G20" s="8"/>
      <x:c r="H20" s="8" t="str">
        <x:f>IF(COUNTA(D20:G20)=0,"",D20-E20-F20-G20)</x:f>
      </x:c>
      <x:c r="I20" s="5" t="str">
        <x:f>IF(H20="","Sin datos",IF(H20&lt;='Parametros'!$B$3,"Cumple","No cumple"))</x:f>
        <x:v>Sin datos</x:v>
      </x:c>
    </x:row>
    <x:row r="21">
      <x:c r="A21" s="5"/>
      <x:c r="B21" s="7"/>
      <x:c r="C21" s="5" t="str">
        <x:f>IF(B21="","",IFERROR(XLOOKUP(B21,'Locales'!$A$2:$A$200,'Locales'!$B$2:$B$200),"Codigo no encontrado"))</x:f>
      </x:c>
      <x:c r="D21" s="8"/>
      <x:c r="E21" s="8"/>
      <x:c r="F21" s="8"/>
      <x:c r="G21" s="8"/>
      <x:c r="H21" s="8" t="str">
        <x:f>IF(COUNTA(D21:G21)=0,"",D21-E21-F21-G21)</x:f>
      </x:c>
      <x:c r="I21" s="5" t="str">
        <x:f>IF(H21="","Sin datos",IF(H21&lt;='Parametros'!$B$3,"Cumple","No cumple"))</x:f>
        <x:v>Sin datos</x:v>
      </x:c>
    </x:row>
    <x:row r="22">
      <x:c r="A22" s="5"/>
      <x:c r="B22" s="7"/>
      <x:c r="C22" s="5" t="str">
        <x:f>IF(B22="","",IFERROR(XLOOKUP(B22,'Locales'!$A$2:$A$200,'Locales'!$B$2:$B$200),"Codigo no encontrado"))</x:f>
      </x:c>
      <x:c r="D22" s="8"/>
      <x:c r="E22" s="8"/>
      <x:c r="F22" s="8"/>
      <x:c r="G22" s="8"/>
      <x:c r="H22" s="8" t="str">
        <x:f>IF(COUNTA(D22:G22)=0,"",D22-E22-F22-G22)</x:f>
      </x:c>
      <x:c r="I22" s="5" t="str">
        <x:f>IF(H22="","Sin datos",IF(H22&lt;='Parametros'!$B$3,"Cumple","No cumple"))</x:f>
        <x:v>Sin datos</x:v>
      </x:c>
    </x:row>
    <x:row r="23">
      <x:c r="A23" s="5"/>
      <x:c r="B23" s="7"/>
      <x:c r="C23" s="5" t="str">
        <x:f>IF(B23="","",IFERROR(XLOOKUP(B23,'Locales'!$A$2:$A$200,'Locales'!$B$2:$B$200),"Codigo no encontrado"))</x:f>
      </x:c>
      <x:c r="D23" s="8"/>
      <x:c r="E23" s="8"/>
      <x:c r="F23" s="8"/>
      <x:c r="G23" s="8"/>
      <x:c r="H23" s="8" t="str">
        <x:f>IF(COUNTA(D23:G23)=0,"",D23-E23-F23-G23)</x:f>
      </x:c>
      <x:c r="I23" s="5" t="str">
        <x:f>IF(H23="","Sin datos",IF(H23&lt;='Parametros'!$B$3,"Cumple","No cumple"))</x:f>
        <x:v>Sin datos</x:v>
      </x:c>
    </x:row>
    <x:row r="24">
      <x:c r="A24" s="5"/>
      <x:c r="B24" s="7"/>
      <x:c r="C24" s="5" t="str">
        <x:f>IF(B24="","",IFERROR(XLOOKUP(B24,'Locales'!$A$2:$A$200,'Locales'!$B$2:$B$200),"Codigo no encontrado"))</x:f>
      </x:c>
      <x:c r="D24" s="8"/>
      <x:c r="E24" s="8"/>
      <x:c r="F24" s="8"/>
      <x:c r="G24" s="8"/>
      <x:c r="H24" s="8" t="str">
        <x:f>IF(COUNTA(D24:G24)=0,"",D24-E24-F24-G24)</x:f>
      </x:c>
      <x:c r="I24" s="5" t="str">
        <x:f>IF(H24="","Sin datos",IF(H24&lt;='Parametros'!$B$3,"Cumple","No cumple"))</x:f>
        <x:v>Sin datos</x:v>
      </x:c>
    </x:row>
    <x:row r="25">
      <x:c r="A25" s="5"/>
      <x:c r="B25" s="7"/>
      <x:c r="C25" s="5" t="str">
        <x:f>IF(B25="","",IFERROR(XLOOKUP(B25,'Locales'!$A$2:$A$200,'Locales'!$B$2:$B$200),"Codigo no encontrado"))</x:f>
      </x:c>
      <x:c r="D25" s="8"/>
      <x:c r="E25" s="8"/>
      <x:c r="F25" s="8"/>
      <x:c r="G25" s="8"/>
      <x:c r="H25" s="8" t="str">
        <x:f>IF(COUNTA(D25:G25)=0,"",D25-E25-F25-G25)</x:f>
      </x:c>
      <x:c r="I25" s="5" t="str">
        <x:f>IF(H25="","Sin datos",IF(H25&lt;='Parametros'!$B$3,"Cumple","No cumple"))</x:f>
        <x:v>Sin datos</x:v>
      </x:c>
    </x:row>
    <x:row r="26">
      <x:c r="A26" s="5"/>
      <x:c r="B26" s="7"/>
      <x:c r="C26" s="5" t="str">
        <x:f>IF(B26="","",IFERROR(XLOOKUP(B26,'Locales'!$A$2:$A$200,'Locales'!$B$2:$B$200),"Codigo no encontrado"))</x:f>
      </x:c>
      <x:c r="D26" s="8"/>
      <x:c r="E26" s="8"/>
      <x:c r="F26" s="8"/>
      <x:c r="G26" s="8"/>
      <x:c r="H26" s="8" t="str">
        <x:f>IF(COUNTA(D26:G26)=0,"",D26-E26-F26-G26)</x:f>
      </x:c>
      <x:c r="I26" s="5" t="str">
        <x:f>IF(H26="","Sin datos",IF(H26&lt;='Parametros'!$B$3,"Cumple","No cumple"))</x:f>
        <x:v>Sin datos</x:v>
      </x:c>
    </x:row>
    <x:row r="27">
      <x:c r="A27" s="5"/>
      <x:c r="B27" s="7"/>
      <x:c r="C27" s="5" t="str">
        <x:f>IF(B27="","",IFERROR(XLOOKUP(B27,'Locales'!$A$2:$A$200,'Locales'!$B$2:$B$200),"Codigo no encontrado"))</x:f>
      </x:c>
      <x:c r="D27" s="8"/>
      <x:c r="E27" s="8"/>
      <x:c r="F27" s="8"/>
      <x:c r="G27" s="8"/>
      <x:c r="H27" s="8" t="str">
        <x:f>IF(COUNTA(D27:G27)=0,"",D27-E27-F27-G27)</x:f>
      </x:c>
      <x:c r="I27" s="5" t="str">
        <x:f>IF(H27="","Sin datos",IF(H27&lt;='Parametros'!$B$3,"Cumple","No cumple"))</x:f>
        <x:v>Sin datos</x:v>
      </x:c>
    </x:row>
    <x:row r="28">
      <x:c r="A28" s="5"/>
      <x:c r="B28" s="7"/>
      <x:c r="C28" s="5" t="str">
        <x:f>IF(B28="","",IFERROR(XLOOKUP(B28,'Locales'!$A$2:$A$200,'Locales'!$B$2:$B$200),"Codigo no encontrado"))</x:f>
      </x:c>
      <x:c r="D28" s="8"/>
      <x:c r="E28" s="8"/>
      <x:c r="F28" s="8"/>
      <x:c r="G28" s="8"/>
      <x:c r="H28" s="8" t="str">
        <x:f>IF(COUNTA(D28:G28)=0,"",D28-E28-F28-G28)</x:f>
      </x:c>
      <x:c r="I28" s="5" t="str">
        <x:f>IF(H28="","Sin datos",IF(H28&lt;='Parametros'!$B$3,"Cumple","No cumple"))</x:f>
        <x:v>Sin datos</x:v>
      </x:c>
    </x:row>
    <x:row r="29">
      <x:c r="A29" s="5"/>
      <x:c r="B29" s="7"/>
      <x:c r="C29" s="5" t="str">
        <x:f>IF(B29="","",IFERROR(XLOOKUP(B29,'Locales'!$A$2:$A$200,'Locales'!$B$2:$B$200),"Codigo no encontrado"))</x:f>
      </x:c>
      <x:c r="D29" s="8"/>
      <x:c r="E29" s="8"/>
      <x:c r="F29" s="8"/>
      <x:c r="G29" s="8"/>
      <x:c r="H29" s="8" t="str">
        <x:f>IF(COUNTA(D29:G29)=0,"",D29-E29-F29-G29)</x:f>
      </x:c>
      <x:c r="I29" s="5" t="str">
        <x:f>IF(H29="","Sin datos",IF(H29&lt;='Parametros'!$B$3,"Cumple","No cumple"))</x:f>
        <x:v>Sin datos</x:v>
      </x:c>
    </x:row>
    <x:row r="30">
      <x:c r="A30" s="5"/>
      <x:c r="B30" s="7"/>
      <x:c r="C30" s="5" t="str">
        <x:f>IF(B30="","",IFERROR(XLOOKUP(B30,'Locales'!$A$2:$A$200,'Locales'!$B$2:$B$200),"Codigo no encontrado"))</x:f>
      </x:c>
      <x:c r="D30" s="8"/>
      <x:c r="E30" s="8"/>
      <x:c r="F30" s="8"/>
      <x:c r="G30" s="8"/>
      <x:c r="H30" s="8" t="str">
        <x:f>IF(COUNTA(D30:G30)=0,"",D30-E30-F30-G30)</x:f>
      </x:c>
      <x:c r="I30" s="5" t="str">
        <x:f>IF(H30="","Sin datos",IF(H30&lt;='Parametros'!$B$3,"Cumple","No cumple"))</x:f>
        <x:v>Sin datos</x:v>
      </x:c>
    </x:row>
    <x:row r="31">
      <x:c r="A31" s="5"/>
      <x:c r="B31" s="7"/>
      <x:c r="C31" s="5" t="str">
        <x:f>IF(B31="","",IFERROR(XLOOKUP(B31,'Locales'!$A$2:$A$200,'Locales'!$B$2:$B$200),"Codigo no encontrado"))</x:f>
      </x:c>
      <x:c r="D31" s="8"/>
      <x:c r="E31" s="8"/>
      <x:c r="F31" s="8"/>
      <x:c r="G31" s="8"/>
      <x:c r="H31" s="8" t="str">
        <x:f>IF(COUNTA(D31:G31)=0,"",D31-E31-F31-G31)</x:f>
      </x:c>
      <x:c r="I31" s="5" t="str">
        <x:f>IF(H31="","Sin datos",IF(H31&lt;='Parametros'!$B$3,"Cumple","No cumple"))</x:f>
        <x:v>Sin datos</x:v>
      </x:c>
    </x:row>
    <x:row r="32">
      <x:c r="A32" s="5"/>
      <x:c r="B32" s="7"/>
      <x:c r="C32" s="5" t="str">
        <x:f>IF(B32="","",IFERROR(XLOOKUP(B32,'Locales'!$A$2:$A$200,'Locales'!$B$2:$B$200),"Codigo no encontrado"))</x:f>
      </x:c>
      <x:c r="D32" s="8"/>
      <x:c r="E32" s="8"/>
      <x:c r="F32" s="8"/>
      <x:c r="G32" s="8"/>
      <x:c r="H32" s="8" t="str">
        <x:f>IF(COUNTA(D32:G32)=0,"",D32-E32-F32-G32)</x:f>
      </x:c>
      <x:c r="I32" s="5" t="str">
        <x:f>IF(H32="","Sin datos",IF(H32&lt;='Parametros'!$B$3,"Cumple","No cumple"))</x:f>
        <x:v>Sin datos</x:v>
      </x:c>
    </x:row>
    <x:row r="33">
      <x:c r="A33" s="5"/>
      <x:c r="B33" s="7"/>
      <x:c r="C33" s="5" t="str">
        <x:f>IF(B33="","",IFERROR(XLOOKUP(B33,'Locales'!$A$2:$A$200,'Locales'!$B$2:$B$200),"Codigo no encontrado"))</x:f>
      </x:c>
      <x:c r="D33" s="8"/>
      <x:c r="E33" s="8"/>
      <x:c r="F33" s="8"/>
      <x:c r="G33" s="8"/>
      <x:c r="H33" s="8" t="str">
        <x:f>IF(COUNTA(D33:G33)=0,"",D33-E33-F33-G33)</x:f>
      </x:c>
      <x:c r="I33" s="5" t="str">
        <x:f>IF(H33="","Sin datos",IF(H33&lt;='Parametros'!$B$3,"Cumple","No cumple"))</x:f>
        <x:v>Sin datos</x:v>
      </x:c>
    </x:row>
    <x:row r="34">
      <x:c r="A34" s="5"/>
      <x:c r="B34" s="7"/>
      <x:c r="C34" s="5" t="str">
        <x:f>IF(B34="","",IFERROR(XLOOKUP(B34,'Locales'!$A$2:$A$200,'Locales'!$B$2:$B$200),"Codigo no encontrado"))</x:f>
      </x:c>
      <x:c r="D34" s="8"/>
      <x:c r="E34" s="8"/>
      <x:c r="F34" s="8"/>
      <x:c r="G34" s="8"/>
      <x:c r="H34" s="8" t="str">
        <x:f>IF(COUNTA(D34:G34)=0,"",D34-E34-F34-G34)</x:f>
      </x:c>
      <x:c r="I34" s="5" t="str">
        <x:f>IF(H34="","Sin datos",IF(H34&lt;='Parametros'!$B$3,"Cumple","No cumple"))</x:f>
        <x:v>Sin datos</x:v>
      </x:c>
    </x:row>
    <x:row r="35">
      <x:c r="A35" s="5"/>
      <x:c r="B35" s="7"/>
      <x:c r="C35" s="5" t="str">
        <x:f>IF(B35="","",IFERROR(XLOOKUP(B35,'Locales'!$A$2:$A$200,'Locales'!$B$2:$B$200),"Codigo no encontrado"))</x:f>
      </x:c>
      <x:c r="D35" s="8"/>
      <x:c r="E35" s="8"/>
      <x:c r="F35" s="8"/>
      <x:c r="G35" s="8"/>
      <x:c r="H35" s="8" t="str">
        <x:f>IF(COUNTA(D35:G35)=0,"",D35-E35-F35-G35)</x:f>
      </x:c>
      <x:c r="I35" s="5" t="str">
        <x:f>IF(H35="","Sin datos",IF(H35&lt;='Parametros'!$B$3,"Cumple","No cumple"))</x:f>
        <x:v>Sin datos</x:v>
      </x:c>
    </x:row>
    <x:row r="36">
      <x:c r="A36" s="5"/>
      <x:c r="B36" s="7"/>
      <x:c r="C36" s="5" t="str">
        <x:f>IF(B36="","",IFERROR(XLOOKUP(B36,'Locales'!$A$2:$A$200,'Locales'!$B$2:$B$200),"Codigo no encontrado"))</x:f>
      </x:c>
      <x:c r="D36" s="8"/>
      <x:c r="E36" s="8"/>
      <x:c r="F36" s="8"/>
      <x:c r="G36" s="8"/>
      <x:c r="H36" s="8" t="str">
        <x:f>IF(COUNTA(D36:G36)=0,"",D36-E36-F36-G36)</x:f>
      </x:c>
      <x:c r="I36" s="5" t="str">
        <x:f>IF(H36="","Sin datos",IF(H36&lt;='Parametros'!$B$3,"Cumple","No cumple"))</x:f>
        <x:v>Sin datos</x:v>
      </x:c>
    </x:row>
    <x:row r="37">
      <x:c r="A37" s="5"/>
      <x:c r="B37" s="7"/>
      <x:c r="C37" s="5" t="str">
        <x:f>IF(B37="","",IFERROR(XLOOKUP(B37,'Locales'!$A$2:$A$200,'Locales'!$B$2:$B$200),"Codigo no encontrado"))</x:f>
      </x:c>
      <x:c r="D37" s="8"/>
      <x:c r="E37" s="8"/>
      <x:c r="F37" s="8"/>
      <x:c r="G37" s="8"/>
      <x:c r="H37" s="8" t="str">
        <x:f>IF(COUNTA(D37:G37)=0,"",D37-E37-F37-G37)</x:f>
      </x:c>
      <x:c r="I37" s="5" t="str">
        <x:f>IF(H37="","Sin datos",IF(H37&lt;='Parametros'!$B$3,"Cumple","No cumple"))</x:f>
        <x:v>Sin datos</x:v>
      </x:c>
    </x:row>
    <x:row r="38">
      <x:c r="A38" s="5"/>
      <x:c r="B38" s="7"/>
      <x:c r="C38" s="5" t="str">
        <x:f>IF(B38="","",IFERROR(XLOOKUP(B38,'Locales'!$A$2:$A$200,'Locales'!$B$2:$B$200),"Codigo no encontrado"))</x:f>
      </x:c>
      <x:c r="D38" s="8"/>
      <x:c r="E38" s="8"/>
      <x:c r="F38" s="8"/>
      <x:c r="G38" s="8"/>
      <x:c r="H38" s="8" t="str">
        <x:f>IF(COUNTA(D38:G38)=0,"",D38-E38-F38-G38)</x:f>
      </x:c>
      <x:c r="I38" s="5" t="str">
        <x:f>IF(H38="","Sin datos",IF(H38&lt;='Parametros'!$B$3,"Cumple","No cumple"))</x:f>
        <x:v>Sin datos</x:v>
      </x:c>
    </x:row>
    <x:row r="39">
      <x:c r="A39" s="5"/>
      <x:c r="B39" s="7"/>
      <x:c r="C39" s="5" t="str">
        <x:f>IF(B39="","",IFERROR(XLOOKUP(B39,'Locales'!$A$2:$A$200,'Locales'!$B$2:$B$200),"Codigo no encontrado"))</x:f>
      </x:c>
      <x:c r="D39" s="8"/>
      <x:c r="E39" s="8"/>
      <x:c r="F39" s="8"/>
      <x:c r="G39" s="8"/>
      <x:c r="H39" s="8" t="str">
        <x:f>IF(COUNTA(D39:G39)=0,"",D39-E39-F39-G39)</x:f>
      </x:c>
      <x:c r="I39" s="5" t="str">
        <x:f>IF(H39="","Sin datos",IF(H39&lt;='Parametros'!$B$3,"Cumple","No cumple"))</x:f>
        <x:v>Sin datos</x:v>
      </x:c>
    </x:row>
    <x:row r="40">
      <x:c r="A40" s="5"/>
      <x:c r="B40" s="7"/>
      <x:c r="C40" s="5" t="str">
        <x:f>IF(B40="","",IFERROR(XLOOKUP(B40,'Locales'!$A$2:$A$200,'Locales'!$B$2:$B$200),"Codigo no encontrado"))</x:f>
      </x:c>
      <x:c r="D40" s="8"/>
      <x:c r="E40" s="8"/>
      <x:c r="F40" s="8"/>
      <x:c r="G40" s="8"/>
      <x:c r="H40" s="8" t="str">
        <x:f>IF(COUNTA(D40:G40)=0,"",D40-E40-F40-G40)</x:f>
      </x:c>
      <x:c r="I40" s="5" t="str">
        <x:f>IF(H40="","Sin datos",IF(H40&lt;='Parametros'!$B$3,"Cumple","No cumple"))</x:f>
        <x:v>Sin datos</x:v>
      </x:c>
    </x:row>
    <x:row r="41">
      <x:c r="A41" s="5"/>
      <x:c r="B41" s="7"/>
      <x:c r="C41" s="5" t="str">
        <x:f>IF(B41="","",IFERROR(XLOOKUP(B41,'Locales'!$A$2:$A$200,'Locales'!$B$2:$B$200),"Codigo no encontrado"))</x:f>
      </x:c>
      <x:c r="D41" s="8"/>
      <x:c r="E41" s="8"/>
      <x:c r="F41" s="8"/>
      <x:c r="G41" s="8"/>
      <x:c r="H41" s="8" t="str">
        <x:f>IF(COUNTA(D41:G41)=0,"",D41-E41-F41-G41)</x:f>
      </x:c>
      <x:c r="I41" s="5" t="str">
        <x:f>IF(H41="","Sin datos",IF(H41&lt;='Parametros'!$B$3,"Cumple","No cumple"))</x:f>
        <x:v>Sin datos</x:v>
      </x:c>
    </x:row>
    <x:row r="42">
      <x:c r="A42" s="5"/>
      <x:c r="B42" s="7"/>
      <x:c r="C42" s="5" t="str">
        <x:f>IF(B42="","",IFERROR(XLOOKUP(B42,'Locales'!$A$2:$A$200,'Locales'!$B$2:$B$200),"Codigo no encontrado"))</x:f>
      </x:c>
      <x:c r="D42" s="8"/>
      <x:c r="E42" s="8"/>
      <x:c r="F42" s="8"/>
      <x:c r="G42" s="8"/>
      <x:c r="H42" s="8" t="str">
        <x:f>IF(COUNTA(D42:G42)=0,"",D42-E42-F42-G42)</x:f>
      </x:c>
      <x:c r="I42" s="5" t="str">
        <x:f>IF(H42="","Sin datos",IF(H42&lt;='Parametros'!$B$3,"Cumple","No cumple"))</x:f>
        <x:v>Sin datos</x:v>
      </x:c>
    </x:row>
    <x:row r="43">
      <x:c r="A43" s="5"/>
      <x:c r="B43" s="7"/>
      <x:c r="C43" s="5" t="str">
        <x:f>IF(B43="","",IFERROR(XLOOKUP(B43,'Locales'!$A$2:$A$200,'Locales'!$B$2:$B$200),"Codigo no encontrado"))</x:f>
      </x:c>
      <x:c r="D43" s="8"/>
      <x:c r="E43" s="8"/>
      <x:c r="F43" s="8"/>
      <x:c r="G43" s="8"/>
      <x:c r="H43" s="8" t="str">
        <x:f>IF(COUNTA(D43:G43)=0,"",D43-E43-F43-G43)</x:f>
      </x:c>
      <x:c r="I43" s="5" t="str">
        <x:f>IF(H43="","Sin datos",IF(H43&lt;='Parametros'!$B$3,"Cumple","No cumple"))</x:f>
        <x:v>Sin datos</x:v>
      </x:c>
    </x:row>
    <x:row r="44">
      <x:c r="A44" s="5"/>
      <x:c r="B44" s="7"/>
      <x:c r="C44" s="5" t="str">
        <x:f>IF(B44="","",IFERROR(XLOOKUP(B44,'Locales'!$A$2:$A$200,'Locales'!$B$2:$B$200),"Codigo no encontrado"))</x:f>
      </x:c>
      <x:c r="D44" s="8"/>
      <x:c r="E44" s="8"/>
      <x:c r="F44" s="8"/>
      <x:c r="G44" s="8"/>
      <x:c r="H44" s="8" t="str">
        <x:f>IF(COUNTA(D44:G44)=0,"",D44-E44-F44-G44)</x:f>
      </x:c>
      <x:c r="I44" s="5" t="str">
        <x:f>IF(H44="","Sin datos",IF(H44&lt;='Parametros'!$B$3,"Cumple","No cumple"))</x:f>
        <x:v>Sin datos</x:v>
      </x:c>
    </x:row>
    <x:row r="45">
      <x:c r="A45" s="5"/>
      <x:c r="B45" s="7"/>
      <x:c r="C45" s="5" t="str">
        <x:f>IF(B45="","",IFERROR(XLOOKUP(B45,'Locales'!$A$2:$A$200,'Locales'!$B$2:$B$200),"Codigo no encontrado"))</x:f>
      </x:c>
      <x:c r="D45" s="8"/>
      <x:c r="E45" s="8"/>
      <x:c r="F45" s="8"/>
      <x:c r="G45" s="8"/>
      <x:c r="H45" s="8" t="str">
        <x:f>IF(COUNTA(D45:G45)=0,"",D45-E45-F45-G45)</x:f>
      </x:c>
      <x:c r="I45" s="5" t="str">
        <x:f>IF(H45="","Sin datos",IF(H45&lt;='Parametros'!$B$3,"Cumple","No cumple"))</x:f>
        <x:v>Sin datos</x:v>
      </x:c>
    </x:row>
    <x:row r="46">
      <x:c r="A46" s="5"/>
      <x:c r="B46" s="7"/>
      <x:c r="C46" s="5" t="str">
        <x:f>IF(B46="","",IFERROR(XLOOKUP(B46,'Locales'!$A$2:$A$200,'Locales'!$B$2:$B$200),"Codigo no encontrado"))</x:f>
      </x:c>
      <x:c r="D46" s="8"/>
      <x:c r="E46" s="8"/>
      <x:c r="F46" s="8"/>
      <x:c r="G46" s="8"/>
      <x:c r="H46" s="8" t="str">
        <x:f>IF(COUNTA(D46:G46)=0,"",D46-E46-F46-G46)</x:f>
      </x:c>
      <x:c r="I46" s="5" t="str">
        <x:f>IF(H46="","Sin datos",IF(H46&lt;='Parametros'!$B$3,"Cumple","No cumple"))</x:f>
        <x:v>Sin datos</x:v>
      </x:c>
    </x:row>
    <x:row r="47">
      <x:c r="A47" s="5"/>
      <x:c r="B47" s="7"/>
      <x:c r="C47" s="5" t="str">
        <x:f>IF(B47="","",IFERROR(XLOOKUP(B47,'Locales'!$A$2:$A$200,'Locales'!$B$2:$B$200),"Codigo no encontrado"))</x:f>
      </x:c>
      <x:c r="D47" s="8"/>
      <x:c r="E47" s="8"/>
      <x:c r="F47" s="8"/>
      <x:c r="G47" s="8"/>
      <x:c r="H47" s="8" t="str">
        <x:f>IF(COUNTA(D47:G47)=0,"",D47-E47-F47-G47)</x:f>
      </x:c>
      <x:c r="I47" s="5" t="str">
        <x:f>IF(H47="","Sin datos",IF(H47&lt;='Parametros'!$B$3,"Cumple","No cumple"))</x:f>
        <x:v>Sin datos</x:v>
      </x:c>
    </x:row>
    <x:row r="48">
      <x:c r="A48" s="5"/>
      <x:c r="B48" s="7"/>
      <x:c r="C48" s="5" t="str">
        <x:f>IF(B48="","",IFERROR(XLOOKUP(B48,'Locales'!$A$2:$A$200,'Locales'!$B$2:$B$200),"Codigo no encontrado"))</x:f>
      </x:c>
      <x:c r="D48" s="8"/>
      <x:c r="E48" s="8"/>
      <x:c r="F48" s="8"/>
      <x:c r="G48" s="8"/>
      <x:c r="H48" s="8" t="str">
        <x:f>IF(COUNTA(D48:G48)=0,"",D48-E48-F48-G48)</x:f>
      </x:c>
      <x:c r="I48" s="5" t="str">
        <x:f>IF(H48="","Sin datos",IF(H48&lt;='Parametros'!$B$3,"Cumple","No cumple"))</x:f>
        <x:v>Sin datos</x:v>
      </x:c>
    </x:row>
    <x:row r="49">
      <x:c r="A49" s="5"/>
      <x:c r="B49" s="7"/>
      <x:c r="C49" s="5" t="str">
        <x:f>IF(B49="","",IFERROR(XLOOKUP(B49,'Locales'!$A$2:$A$200,'Locales'!$B$2:$B$200),"Codigo no encontrado"))</x:f>
      </x:c>
      <x:c r="D49" s="8"/>
      <x:c r="E49" s="8"/>
      <x:c r="F49" s="8"/>
      <x:c r="G49" s="8"/>
      <x:c r="H49" s="8" t="str">
        <x:f>IF(COUNTA(D49:G49)=0,"",D49-E49-F49-G49)</x:f>
      </x:c>
      <x:c r="I49" s="5" t="str">
        <x:f>IF(H49="","Sin datos",IF(H49&lt;='Parametros'!$B$3,"Cumple","No cumple"))</x:f>
        <x:v>Sin datos</x:v>
      </x:c>
    </x:row>
    <x:row r="50">
      <x:c r="A50" s="5"/>
      <x:c r="B50" s="7"/>
      <x:c r="C50" s="5" t="str">
        <x:f>IF(B50="","",IFERROR(XLOOKUP(B50,'Locales'!$A$2:$A$200,'Locales'!$B$2:$B$200),"Codigo no encontrado"))</x:f>
      </x:c>
      <x:c r="D50" s="8"/>
      <x:c r="E50" s="8"/>
      <x:c r="F50" s="8"/>
      <x:c r="G50" s="8"/>
      <x:c r="H50" s="8" t="str">
        <x:f>IF(COUNTA(D50:G50)=0,"",D50-E50-F50-G50)</x:f>
      </x:c>
      <x:c r="I50" s="5" t="str">
        <x:f>IF(H50="","Sin datos",IF(H50&lt;='Parametros'!$B$3,"Cumple","No cumple"))</x:f>
        <x:v>Sin datos</x:v>
      </x:c>
    </x:row>
    <x:row r="51">
      <x:c r="A51" s="5"/>
      <x:c r="B51" s="7"/>
      <x:c r="C51" s="5" t="str">
        <x:f>IF(B51="","",IFERROR(XLOOKUP(B51,'Locales'!$A$2:$A$200,'Locales'!$B$2:$B$200),"Codigo no encontrado"))</x:f>
      </x:c>
      <x:c r="D51" s="8"/>
      <x:c r="E51" s="8"/>
      <x:c r="F51" s="8"/>
      <x:c r="G51" s="8"/>
      <x:c r="H51" s="8" t="str">
        <x:f>IF(COUNTA(D51:G51)=0,"",D51-E51-F51-G51)</x:f>
      </x:c>
      <x:c r="I51" s="5" t="str">
        <x:f>IF(H51="","Sin datos",IF(H51&lt;='Parametros'!$B$3,"Cumple","No cumple"))</x:f>
        <x:v>Sin datos</x:v>
      </x:c>
    </x:row>
    <x:row r="52">
      <x:c r="A52" s="5"/>
      <x:c r="B52" s="7"/>
      <x:c r="C52" s="5" t="str">
        <x:f>IF(B52="","",IFERROR(XLOOKUP(B52,'Locales'!$A$2:$A$200,'Locales'!$B$2:$B$200),"Codigo no encontrado"))</x:f>
      </x:c>
      <x:c r="D52" s="8"/>
      <x:c r="E52" s="8"/>
      <x:c r="F52" s="8"/>
      <x:c r="G52" s="8"/>
      <x:c r="H52" s="8" t="str">
        <x:f>IF(COUNTA(D52:G52)=0,"",D52-E52-F52-G52)</x:f>
      </x:c>
      <x:c r="I52" s="5" t="str">
        <x:f>IF(H52="","Sin datos",IF(H52&lt;='Parametros'!$B$3,"Cumple","No cumple"))</x:f>
        <x:v>Sin datos</x:v>
      </x:c>
    </x:row>
    <x:row r="53">
      <x:c r="A53" s="5"/>
      <x:c r="B53" s="7"/>
      <x:c r="C53" s="5" t="str">
        <x:f>IF(B53="","",IFERROR(XLOOKUP(B53,'Locales'!$A$2:$A$200,'Locales'!$B$2:$B$200),"Codigo no encontrado"))</x:f>
      </x:c>
      <x:c r="D53" s="8"/>
      <x:c r="E53" s="8"/>
      <x:c r="F53" s="8"/>
      <x:c r="G53" s="8"/>
      <x:c r="H53" s="8" t="str">
        <x:f>IF(COUNTA(D53:G53)=0,"",D53-E53-F53-G53)</x:f>
      </x:c>
      <x:c r="I53" s="5" t="str">
        <x:f>IF(H53="","Sin datos",IF(H53&lt;='Parametros'!$B$3,"Cumple","No cumple"))</x:f>
        <x:v>Sin datos</x:v>
      </x:c>
    </x:row>
    <x:row r="54">
      <x:c r="A54" s="5"/>
      <x:c r="B54" s="7"/>
      <x:c r="C54" s="5" t="str">
        <x:f>IF(B54="","",IFERROR(XLOOKUP(B54,'Locales'!$A$2:$A$200,'Locales'!$B$2:$B$200),"Codigo no encontrado"))</x:f>
      </x:c>
      <x:c r="D54" s="8"/>
      <x:c r="E54" s="8"/>
      <x:c r="F54" s="8"/>
      <x:c r="G54" s="8"/>
      <x:c r="H54" s="8" t="str">
        <x:f>IF(COUNTA(D54:G54)=0,"",D54-E54-F54-G54)</x:f>
      </x:c>
      <x:c r="I54" s="5" t="str">
        <x:f>IF(H54="","Sin datos",IF(H54&lt;='Parametros'!$B$3,"Cumple","No cumple"))</x:f>
        <x:v>Sin datos</x:v>
      </x:c>
    </x:row>
    <x:row r="55">
      <x:c r="A55" s="5"/>
      <x:c r="B55" s="7"/>
      <x:c r="C55" s="5" t="str">
        <x:f>IF(B55="","",IFERROR(XLOOKUP(B55,'Locales'!$A$2:$A$200,'Locales'!$B$2:$B$200),"Codigo no encontrado"))</x:f>
      </x:c>
      <x:c r="D55" s="8"/>
      <x:c r="E55" s="8"/>
      <x:c r="F55" s="8"/>
      <x:c r="G55" s="8"/>
      <x:c r="H55" s="8" t="str">
        <x:f>IF(COUNTA(D55:G55)=0,"",D55-E55-F55-G55)</x:f>
      </x:c>
      <x:c r="I55" s="5" t="str">
        <x:f>IF(H55="","Sin datos",IF(H55&lt;='Parametros'!$B$3,"Cumple","No cumple"))</x:f>
        <x:v>Sin datos</x:v>
      </x:c>
    </x:row>
    <x:row r="56">
      <x:c r="A56" s="5"/>
      <x:c r="B56" s="7"/>
      <x:c r="C56" s="5" t="str">
        <x:f>IF(B56="","",IFERROR(XLOOKUP(B56,'Locales'!$A$2:$A$200,'Locales'!$B$2:$B$200),"Codigo no encontrado"))</x:f>
      </x:c>
      <x:c r="D56" s="8"/>
      <x:c r="E56" s="8"/>
      <x:c r="F56" s="8"/>
      <x:c r="G56" s="8"/>
      <x:c r="H56" s="8" t="str">
        <x:f>IF(COUNTA(D56:G56)=0,"",D56-E56-F56-G56)</x:f>
      </x:c>
      <x:c r="I56" s="5" t="str">
        <x:f>IF(H56="","Sin datos",IF(H56&lt;='Parametros'!$B$3,"Cumple","No cumple"))</x:f>
        <x:v>Sin datos</x:v>
      </x:c>
    </x:row>
    <x:row r="57">
      <x:c r="A57" s="5"/>
      <x:c r="B57" s="7"/>
      <x:c r="C57" s="5" t="str">
        <x:f>IF(B57="","",IFERROR(XLOOKUP(B57,'Locales'!$A$2:$A$200,'Locales'!$B$2:$B$200),"Codigo no encontrado"))</x:f>
      </x:c>
      <x:c r="D57" s="8"/>
      <x:c r="E57" s="8"/>
      <x:c r="F57" s="8"/>
      <x:c r="G57" s="8"/>
      <x:c r="H57" s="8" t="str">
        <x:f>IF(COUNTA(D57:G57)=0,"",D57-E57-F57-G57)</x:f>
      </x:c>
      <x:c r="I57" s="5" t="str">
        <x:f>IF(H57="","Sin datos",IF(H57&lt;='Parametros'!$B$3,"Cumple","No cumple"))</x:f>
        <x:v>Sin datos</x:v>
      </x:c>
    </x:row>
    <x:row r="58">
      <x:c r="A58" s="5"/>
      <x:c r="B58" s="7"/>
      <x:c r="C58" s="5" t="str">
        <x:f>IF(B58="","",IFERROR(XLOOKUP(B58,'Locales'!$A$2:$A$200,'Locales'!$B$2:$B$200),"Codigo no encontrado"))</x:f>
      </x:c>
      <x:c r="D58" s="8"/>
      <x:c r="E58" s="8"/>
      <x:c r="F58" s="8"/>
      <x:c r="G58" s="8"/>
      <x:c r="H58" s="8" t="str">
        <x:f>IF(COUNTA(D58:G58)=0,"",D58-E58-F58-G58)</x:f>
      </x:c>
      <x:c r="I58" s="5" t="str">
        <x:f>IF(H58="","Sin datos",IF(H58&lt;='Parametros'!$B$3,"Cumple","No cumple"))</x:f>
        <x:v>Sin datos</x:v>
      </x:c>
    </x:row>
    <x:row r="59">
      <x:c r="A59" s="5"/>
      <x:c r="B59" s="7"/>
      <x:c r="C59" s="5" t="str">
        <x:f>IF(B59="","",IFERROR(XLOOKUP(B59,'Locales'!$A$2:$A$200,'Locales'!$B$2:$B$200),"Codigo no encontrado"))</x:f>
      </x:c>
      <x:c r="D59" s="8"/>
      <x:c r="E59" s="8"/>
      <x:c r="F59" s="8"/>
      <x:c r="G59" s="8"/>
      <x:c r="H59" s="8" t="str">
        <x:f>IF(COUNTA(D59:G59)=0,"",D59-E59-F59-G59)</x:f>
      </x:c>
      <x:c r="I59" s="5" t="str">
        <x:f>IF(H59="","Sin datos",IF(H59&lt;='Parametros'!$B$3,"Cumple","No cumple"))</x:f>
        <x:v>Sin datos</x:v>
      </x:c>
    </x:row>
    <x:row r="60">
      <x:c r="A60" s="5"/>
      <x:c r="B60" s="7"/>
      <x:c r="C60" s="5" t="str">
        <x:f>IF(B60="","",IFERROR(XLOOKUP(B60,'Locales'!$A$2:$A$200,'Locales'!$B$2:$B$200),"Codigo no encontrado"))</x:f>
      </x:c>
      <x:c r="D60" s="8"/>
      <x:c r="E60" s="8"/>
      <x:c r="F60" s="8"/>
      <x:c r="G60" s="8"/>
      <x:c r="H60" s="8" t="str">
        <x:f>IF(COUNTA(D60:G60)=0,"",D60-E60-F60-G60)</x:f>
      </x:c>
      <x:c r="I60" s="5" t="str">
        <x:f>IF(H60="","Sin datos",IF(H60&lt;='Parametros'!$B$3,"Cumple","No cumple"))</x:f>
        <x:v>Sin datos</x:v>
      </x:c>
    </x:row>
    <x:row r="61">
      <x:c r="A61" s="5"/>
      <x:c r="B61" s="7"/>
      <x:c r="C61" s="5" t="str">
        <x:f>IF(B61="","",IFERROR(XLOOKUP(B61,'Locales'!$A$2:$A$200,'Locales'!$B$2:$B$200),"Codigo no encontrado"))</x:f>
      </x:c>
      <x:c r="D61" s="8"/>
      <x:c r="E61" s="8"/>
      <x:c r="F61" s="8"/>
      <x:c r="G61" s="8"/>
      <x:c r="H61" s="8" t="str">
        <x:f>IF(COUNTA(D61:G61)=0,"",D61-E61-F61-G61)</x:f>
      </x:c>
      <x:c r="I61" s="5" t="str">
        <x:f>IF(H61="","Sin datos",IF(H61&lt;='Parametros'!$B$3,"Cumple","No cumple"))</x:f>
        <x:v>Sin datos</x:v>
      </x:c>
    </x:row>
    <x:row r="62">
      <x:c r="A62" s="5"/>
      <x:c r="B62" s="7"/>
      <x:c r="C62" s="5" t="str">
        <x:f>IF(B62="","",IFERROR(XLOOKUP(B62,'Locales'!$A$2:$A$200,'Locales'!$B$2:$B$200),"Codigo no encontrado"))</x:f>
      </x:c>
      <x:c r="D62" s="8"/>
      <x:c r="E62" s="8"/>
      <x:c r="F62" s="8"/>
      <x:c r="G62" s="8"/>
      <x:c r="H62" s="8" t="str">
        <x:f>IF(COUNTA(D62:G62)=0,"",D62-E62-F62-G62)</x:f>
      </x:c>
      <x:c r="I62" s="5" t="str">
        <x:f>IF(H62="","Sin datos",IF(H62&lt;='Parametros'!$B$3,"Cumple","No cumple"))</x:f>
        <x:v>Sin datos</x:v>
      </x:c>
    </x:row>
    <x:row r="63">
      <x:c r="A63" s="5"/>
      <x:c r="B63" s="7"/>
      <x:c r="C63" s="5" t="str">
        <x:f>IF(B63="","",IFERROR(XLOOKUP(B63,'Locales'!$A$2:$A$200,'Locales'!$B$2:$B$200),"Codigo no encontrado"))</x:f>
      </x:c>
      <x:c r="D63" s="8"/>
      <x:c r="E63" s="8"/>
      <x:c r="F63" s="8"/>
      <x:c r="G63" s="8"/>
      <x:c r="H63" s="8" t="str">
        <x:f>IF(COUNTA(D63:G63)=0,"",D63-E63-F63-G63)</x:f>
      </x:c>
      <x:c r="I63" s="5" t="str">
        <x:f>IF(H63="","Sin datos",IF(H63&lt;='Parametros'!$B$3,"Cumple","No cumple"))</x:f>
        <x:v>Sin datos</x:v>
      </x:c>
    </x:row>
    <x:row r="64">
      <x:c r="A64" s="5"/>
      <x:c r="B64" s="7"/>
      <x:c r="C64" s="5" t="str">
        <x:f>IF(B64="","",IFERROR(XLOOKUP(B64,'Locales'!$A$2:$A$200,'Locales'!$B$2:$B$200),"Codigo no encontrado"))</x:f>
      </x:c>
      <x:c r="D64" s="8"/>
      <x:c r="E64" s="8"/>
      <x:c r="F64" s="8"/>
      <x:c r="G64" s="8"/>
      <x:c r="H64" s="8" t="str">
        <x:f>IF(COUNTA(D64:G64)=0,"",D64-E64-F64-G64)</x:f>
      </x:c>
      <x:c r="I64" s="5" t="str">
        <x:f>IF(H64="","Sin datos",IF(H64&lt;='Parametros'!$B$3,"Cumple","No cumple"))</x:f>
        <x:v>Sin datos</x:v>
      </x:c>
    </x:row>
    <x:row r="65">
      <x:c r="A65" s="5"/>
      <x:c r="B65" s="7"/>
      <x:c r="C65" s="5" t="str">
        <x:f>IF(B65="","",IFERROR(XLOOKUP(B65,'Locales'!$A$2:$A$200,'Locales'!$B$2:$B$200),"Codigo no encontrado"))</x:f>
      </x:c>
      <x:c r="D65" s="8"/>
      <x:c r="E65" s="8"/>
      <x:c r="F65" s="8"/>
      <x:c r="G65" s="8"/>
      <x:c r="H65" s="8" t="str">
        <x:f>IF(COUNTA(D65:G65)=0,"",D65-E65-F65-G65)</x:f>
      </x:c>
      <x:c r="I65" s="5" t="str">
        <x:f>IF(H65="","Sin datos",IF(H65&lt;='Parametros'!$B$3,"Cumple","No cumple"))</x:f>
        <x:v>Sin datos</x:v>
      </x:c>
    </x:row>
    <x:row r="66">
      <x:c r="A66" s="5"/>
      <x:c r="B66" s="7"/>
      <x:c r="C66" s="5" t="str">
        <x:f>IF(B66="","",IFERROR(XLOOKUP(B66,'Locales'!$A$2:$A$200,'Locales'!$B$2:$B$200),"Codigo no encontrado"))</x:f>
      </x:c>
      <x:c r="D66" s="8"/>
      <x:c r="E66" s="8"/>
      <x:c r="F66" s="8"/>
      <x:c r="G66" s="8"/>
      <x:c r="H66" s="8" t="str">
        <x:f>IF(COUNTA(D66:G66)=0,"",D66-E66-F66-G66)</x:f>
      </x:c>
      <x:c r="I66" s="5" t="str">
        <x:f>IF(H66="","Sin datos",IF(H66&lt;='Parametros'!$B$3,"Cumple","No cumple"))</x:f>
        <x:v>Sin datos</x:v>
      </x:c>
    </x:row>
    <x:row r="67">
      <x:c r="A67" s="5"/>
      <x:c r="B67" s="7"/>
      <x:c r="C67" s="5" t="str">
        <x:f>IF(B67="","",IFERROR(XLOOKUP(B67,'Locales'!$A$2:$A$200,'Locales'!$B$2:$B$200),"Codigo no encontrado"))</x:f>
      </x:c>
      <x:c r="D67" s="8"/>
      <x:c r="E67" s="8"/>
      <x:c r="F67" s="8"/>
      <x:c r="G67" s="8"/>
      <x:c r="H67" s="8" t="str">
        <x:f>IF(COUNTA(D67:G67)=0,"",D67-E67-F67-G67)</x:f>
      </x:c>
      <x:c r="I67" s="5" t="str">
        <x:f>IF(H67="","Sin datos",IF(H67&lt;='Parametros'!$B$3,"Cumple","No cumple"))</x:f>
        <x:v>Sin datos</x:v>
      </x:c>
    </x:row>
    <x:row r="68">
      <x:c r="A68" s="5"/>
      <x:c r="B68" s="7"/>
      <x:c r="C68" s="5" t="str">
        <x:f>IF(B68="","",IFERROR(XLOOKUP(B68,'Locales'!$A$2:$A$200,'Locales'!$B$2:$B$200),"Codigo no encontrado"))</x:f>
      </x:c>
      <x:c r="D68" s="8"/>
      <x:c r="E68" s="8"/>
      <x:c r="F68" s="8"/>
      <x:c r="G68" s="8"/>
      <x:c r="H68" s="8" t="str">
        <x:f>IF(COUNTA(D68:G68)=0,"",D68-E68-F68-G68)</x:f>
      </x:c>
      <x:c r="I68" s="5" t="str">
        <x:f>IF(H68="","Sin datos",IF(H68&lt;='Parametros'!$B$3,"Cumple","No cumple"))</x:f>
        <x:v>Sin datos</x:v>
      </x:c>
    </x:row>
    <x:row r="69">
      <x:c r="A69" s="5"/>
      <x:c r="B69" s="7"/>
      <x:c r="C69" s="5" t="str">
        <x:f>IF(B69="","",IFERROR(XLOOKUP(B69,'Locales'!$A$2:$A$200,'Locales'!$B$2:$B$200),"Codigo no encontrado"))</x:f>
      </x:c>
      <x:c r="D69" s="8"/>
      <x:c r="E69" s="8"/>
      <x:c r="F69" s="8"/>
      <x:c r="G69" s="8"/>
      <x:c r="H69" s="8" t="str">
        <x:f>IF(COUNTA(D69:G69)=0,"",D69-E69-F69-G69)</x:f>
      </x:c>
      <x:c r="I69" s="5" t="str">
        <x:f>IF(H69="","Sin datos",IF(H69&lt;='Parametros'!$B$3,"Cumple","No cumple"))</x:f>
        <x:v>Sin datos</x:v>
      </x:c>
    </x:row>
    <x:row r="70">
      <x:c r="A70" s="5"/>
      <x:c r="B70" s="7"/>
      <x:c r="C70" s="5" t="str">
        <x:f>IF(B70="","",IFERROR(XLOOKUP(B70,'Locales'!$A$2:$A$200,'Locales'!$B$2:$B$200),"Codigo no encontrado"))</x:f>
      </x:c>
      <x:c r="D70" s="8"/>
      <x:c r="E70" s="8"/>
      <x:c r="F70" s="8"/>
      <x:c r="G70" s="8"/>
      <x:c r="H70" s="8" t="str">
        <x:f>IF(COUNTA(D70:G70)=0,"",D70-E70-F70-G70)</x:f>
      </x:c>
      <x:c r="I70" s="5" t="str">
        <x:f>IF(H70="","Sin datos",IF(H70&lt;='Parametros'!$B$3,"Cumple","No cumple"))</x:f>
        <x:v>Sin datos</x:v>
      </x:c>
    </x:row>
    <x:row r="71">
      <x:c r="A71" s="5"/>
      <x:c r="B71" s="7"/>
      <x:c r="C71" s="5" t="str">
        <x:f>IF(B71="","",IFERROR(XLOOKUP(B71,'Locales'!$A$2:$A$200,'Locales'!$B$2:$B$200),"Codigo no encontrado"))</x:f>
      </x:c>
      <x:c r="D71" s="8"/>
      <x:c r="E71" s="8"/>
      <x:c r="F71" s="8"/>
      <x:c r="G71" s="8"/>
      <x:c r="H71" s="8" t="str">
        <x:f>IF(COUNTA(D71:G71)=0,"",D71-E71-F71-G71)</x:f>
      </x:c>
      <x:c r="I71" s="5" t="str">
        <x:f>IF(H71="","Sin datos",IF(H71&lt;='Parametros'!$B$3,"Cumple","No cumple"))</x:f>
        <x:v>Sin datos</x:v>
      </x:c>
    </x:row>
    <x:row r="72">
      <x:c r="A72" s="5"/>
      <x:c r="B72" s="7"/>
      <x:c r="C72" s="5" t="str">
        <x:f>IF(B72="","",IFERROR(XLOOKUP(B72,'Locales'!$A$2:$A$200,'Locales'!$B$2:$B$200),"Codigo no encontrado"))</x:f>
      </x:c>
      <x:c r="D72" s="8"/>
      <x:c r="E72" s="8"/>
      <x:c r="F72" s="8"/>
      <x:c r="G72" s="8"/>
      <x:c r="H72" s="8" t="str">
        <x:f>IF(COUNTA(D72:G72)=0,"",D72-E72-F72-G72)</x:f>
      </x:c>
      <x:c r="I72" s="5" t="str">
        <x:f>IF(H72="","Sin datos",IF(H72&lt;='Parametros'!$B$3,"Cumple","No cumple"))</x:f>
        <x:v>Sin datos</x:v>
      </x:c>
    </x:row>
    <x:row r="73">
      <x:c r="A73" s="5"/>
      <x:c r="B73" s="7"/>
      <x:c r="C73" s="5" t="str">
        <x:f>IF(B73="","",IFERROR(XLOOKUP(B73,'Locales'!$A$2:$A$200,'Locales'!$B$2:$B$200),"Codigo no encontrado"))</x:f>
      </x:c>
      <x:c r="D73" s="8"/>
      <x:c r="E73" s="8"/>
      <x:c r="F73" s="8"/>
      <x:c r="G73" s="8"/>
      <x:c r="H73" s="8" t="str">
        <x:f>IF(COUNTA(D73:G73)=0,"",D73-E73-F73-G73)</x:f>
      </x:c>
      <x:c r="I73" s="5" t="str">
        <x:f>IF(H73="","Sin datos",IF(H73&lt;='Parametros'!$B$3,"Cumple","No cumple"))</x:f>
        <x:v>Sin datos</x:v>
      </x:c>
    </x:row>
    <x:row r="74">
      <x:c r="A74" s="5"/>
      <x:c r="B74" s="7"/>
      <x:c r="C74" s="5" t="str">
        <x:f>IF(B74="","",IFERROR(XLOOKUP(B74,'Locales'!$A$2:$A$200,'Locales'!$B$2:$B$200),"Codigo no encontrado"))</x:f>
      </x:c>
      <x:c r="D74" s="8"/>
      <x:c r="E74" s="8"/>
      <x:c r="F74" s="8"/>
      <x:c r="G74" s="8"/>
      <x:c r="H74" s="8" t="str">
        <x:f>IF(COUNTA(D74:G74)=0,"",D74-E74-F74-G74)</x:f>
      </x:c>
      <x:c r="I74" s="5" t="str">
        <x:f>IF(H74="","Sin datos",IF(H74&lt;='Parametros'!$B$3,"Cumple","No cumple"))</x:f>
        <x:v>Sin datos</x:v>
      </x:c>
    </x:row>
    <x:row r="75">
      <x:c r="A75" s="5"/>
      <x:c r="B75" s="7"/>
      <x:c r="C75" s="5" t="str">
        <x:f>IF(B75="","",IFERROR(XLOOKUP(B75,'Locales'!$A$2:$A$200,'Locales'!$B$2:$B$200),"Codigo no encontrado"))</x:f>
      </x:c>
      <x:c r="D75" s="8"/>
      <x:c r="E75" s="8"/>
      <x:c r="F75" s="8"/>
      <x:c r="G75" s="8"/>
      <x:c r="H75" s="8" t="str">
        <x:f>IF(COUNTA(D75:G75)=0,"",D75-E75-F75-G75)</x:f>
      </x:c>
      <x:c r="I75" s="5" t="str">
        <x:f>IF(H75="","Sin datos",IF(H75&lt;='Parametros'!$B$3,"Cumple","No cumple"))</x:f>
        <x:v>Sin datos</x:v>
      </x:c>
    </x:row>
    <x:row r="76">
      <x:c r="A76" s="5"/>
      <x:c r="B76" s="7"/>
      <x:c r="C76" s="5" t="str">
        <x:f>IF(B76="","",IFERROR(XLOOKUP(B76,'Locales'!$A$2:$A$200,'Locales'!$B$2:$B$200),"Codigo no encontrado"))</x:f>
      </x:c>
      <x:c r="D76" s="8"/>
      <x:c r="E76" s="8"/>
      <x:c r="F76" s="8"/>
      <x:c r="G76" s="8"/>
      <x:c r="H76" s="8" t="str">
        <x:f>IF(COUNTA(D76:G76)=0,"",D76-E76-F76-G76)</x:f>
      </x:c>
      <x:c r="I76" s="5" t="str">
        <x:f>IF(H76="","Sin datos",IF(H76&lt;='Parametros'!$B$3,"Cumple","No cumple"))</x:f>
        <x:v>Sin datos</x:v>
      </x:c>
    </x:row>
    <x:row r="77">
      <x:c r="A77" s="5"/>
      <x:c r="B77" s="7"/>
      <x:c r="C77" s="5" t="str">
        <x:f>IF(B77="","",IFERROR(XLOOKUP(B77,'Locales'!$A$2:$A$200,'Locales'!$B$2:$B$200),"Codigo no encontrado"))</x:f>
      </x:c>
      <x:c r="D77" s="8"/>
      <x:c r="E77" s="8"/>
      <x:c r="F77" s="8"/>
      <x:c r="G77" s="8"/>
      <x:c r="H77" s="8" t="str">
        <x:f>IF(COUNTA(D77:G77)=0,"",D77-E77-F77-G77)</x:f>
      </x:c>
      <x:c r="I77" s="5" t="str">
        <x:f>IF(H77="","Sin datos",IF(H77&lt;='Parametros'!$B$3,"Cumple","No cumple"))</x:f>
        <x:v>Sin datos</x:v>
      </x:c>
    </x:row>
    <x:row r="78">
      <x:c r="A78" s="5"/>
      <x:c r="B78" s="7"/>
      <x:c r="C78" s="5" t="str">
        <x:f>IF(B78="","",IFERROR(XLOOKUP(B78,'Locales'!$A$2:$A$200,'Locales'!$B$2:$B$200),"Codigo no encontrado"))</x:f>
      </x:c>
      <x:c r="D78" s="8"/>
      <x:c r="E78" s="8"/>
      <x:c r="F78" s="8"/>
      <x:c r="G78" s="8"/>
      <x:c r="H78" s="8" t="str">
        <x:f>IF(COUNTA(D78:G78)=0,"",D78-E78-F78-G78)</x:f>
      </x:c>
      <x:c r="I78" s="5" t="str">
        <x:f>IF(H78="","Sin datos",IF(H78&lt;='Parametros'!$B$3,"Cumple","No cumple"))</x:f>
        <x:v>Sin datos</x:v>
      </x:c>
    </x:row>
    <x:row r="79">
      <x:c r="A79" s="5"/>
      <x:c r="B79" s="7"/>
      <x:c r="C79" s="5" t="str">
        <x:f>IF(B79="","",IFERROR(XLOOKUP(B79,'Locales'!$A$2:$A$200,'Locales'!$B$2:$B$200),"Codigo no encontrado"))</x:f>
      </x:c>
      <x:c r="D79" s="8"/>
      <x:c r="E79" s="8"/>
      <x:c r="F79" s="8"/>
      <x:c r="G79" s="8"/>
      <x:c r="H79" s="8" t="str">
        <x:f>IF(COUNTA(D79:G79)=0,"",D79-E79-F79-G79)</x:f>
      </x:c>
      <x:c r="I79" s="5" t="str">
        <x:f>IF(H79="","Sin datos",IF(H79&lt;='Parametros'!$B$3,"Cumple","No cumple"))</x:f>
        <x:v>Sin datos</x:v>
      </x:c>
    </x:row>
    <x:row r="80">
      <x:c r="A80" s="5"/>
      <x:c r="B80" s="7"/>
      <x:c r="C80" s="5" t="str">
        <x:f>IF(B80="","",IFERROR(XLOOKUP(B80,'Locales'!$A$2:$A$200,'Locales'!$B$2:$B$200),"Codigo no encontrado"))</x:f>
      </x:c>
      <x:c r="D80" s="8"/>
      <x:c r="E80" s="8"/>
      <x:c r="F80" s="8"/>
      <x:c r="G80" s="8"/>
      <x:c r="H80" s="8" t="str">
        <x:f>IF(COUNTA(D80:G80)=0,"",D80-E80-F80-G80)</x:f>
      </x:c>
      <x:c r="I80" s="5" t="str">
        <x:f>IF(H80="","Sin datos",IF(H80&lt;='Parametros'!$B$3,"Cumple","No cumple"))</x:f>
        <x:v>Sin datos</x:v>
      </x:c>
    </x:row>
    <x:row r="81">
      <x:c r="A81" s="5"/>
      <x:c r="B81" s="7"/>
      <x:c r="C81" s="5" t="str">
        <x:f>IF(B81="","",IFERROR(XLOOKUP(B81,'Locales'!$A$2:$A$200,'Locales'!$B$2:$B$200),"Codigo no encontrado"))</x:f>
      </x:c>
      <x:c r="D81" s="8"/>
      <x:c r="E81" s="8"/>
      <x:c r="F81" s="8"/>
      <x:c r="G81" s="8"/>
      <x:c r="H81" s="8" t="str">
        <x:f>IF(COUNTA(D81:G81)=0,"",D81-E81-F81-G81)</x:f>
      </x:c>
      <x:c r="I81" s="5" t="str">
        <x:f>IF(H81="","Sin datos",IF(H81&lt;='Parametros'!$B$3,"Cumple","No cumple"))</x:f>
        <x:v>Sin datos</x:v>
      </x:c>
    </x:row>
    <x:row r="82">
      <x:c r="A82" s="5"/>
      <x:c r="B82" s="7"/>
      <x:c r="C82" s="5" t="str">
        <x:f>IF(B82="","",IFERROR(XLOOKUP(B82,'Locales'!$A$2:$A$200,'Locales'!$B$2:$B$200),"Codigo no encontrado"))</x:f>
      </x:c>
      <x:c r="D82" s="8"/>
      <x:c r="E82" s="8"/>
      <x:c r="F82" s="8"/>
      <x:c r="G82" s="8"/>
      <x:c r="H82" s="8" t="str">
        <x:f>IF(COUNTA(D82:G82)=0,"",D82-E82-F82-G82)</x:f>
      </x:c>
      <x:c r="I82" s="5" t="str">
        <x:f>IF(H82="","Sin datos",IF(H82&lt;='Parametros'!$B$3,"Cumple","No cumple"))</x:f>
        <x:v>Sin datos</x:v>
      </x:c>
    </x:row>
    <x:row r="83">
      <x:c r="A83" s="5"/>
      <x:c r="B83" s="7"/>
      <x:c r="C83" s="5" t="str">
        <x:f>IF(B83="","",IFERROR(XLOOKUP(B83,'Locales'!$A$2:$A$200,'Locales'!$B$2:$B$200),"Codigo no encontrado"))</x:f>
      </x:c>
      <x:c r="D83" s="8"/>
      <x:c r="E83" s="8"/>
      <x:c r="F83" s="8"/>
      <x:c r="G83" s="8"/>
      <x:c r="H83" s="8" t="str">
        <x:f>IF(COUNTA(D83:G83)=0,"",D83-E83-F83-G83)</x:f>
      </x:c>
      <x:c r="I83" s="5" t="str">
        <x:f>IF(H83="","Sin datos",IF(H83&lt;='Parametros'!$B$3,"Cumple","No cumple"))</x:f>
        <x:v>Sin datos</x:v>
      </x:c>
    </x:row>
    <x:row r="84">
      <x:c r="A84" s="5"/>
      <x:c r="B84" s="7"/>
      <x:c r="C84" s="5" t="str">
        <x:f>IF(B84="","",IFERROR(XLOOKUP(B84,'Locales'!$A$2:$A$200,'Locales'!$B$2:$B$200),"Codigo no encontrado"))</x:f>
      </x:c>
      <x:c r="D84" s="8"/>
      <x:c r="E84" s="8"/>
      <x:c r="F84" s="8"/>
      <x:c r="G84" s="8"/>
      <x:c r="H84" s="8" t="str">
        <x:f>IF(COUNTA(D84:G84)=0,"",D84-E84-F84-G84)</x:f>
      </x:c>
      <x:c r="I84" s="5" t="str">
        <x:f>IF(H84="","Sin datos",IF(H84&lt;='Parametros'!$B$3,"Cumple","No cumple"))</x:f>
        <x:v>Sin datos</x:v>
      </x:c>
    </x:row>
    <x:row r="85">
      <x:c r="A85" s="5"/>
      <x:c r="B85" s="7"/>
      <x:c r="C85" s="5" t="str">
        <x:f>IF(B85="","",IFERROR(XLOOKUP(B85,'Locales'!$A$2:$A$200,'Locales'!$B$2:$B$200),"Codigo no encontrado"))</x:f>
      </x:c>
      <x:c r="D85" s="8"/>
      <x:c r="E85" s="8"/>
      <x:c r="F85" s="8"/>
      <x:c r="G85" s="8"/>
      <x:c r="H85" s="8" t="str">
        <x:f>IF(COUNTA(D85:G85)=0,"",D85-E85-F85-G85)</x:f>
      </x:c>
      <x:c r="I85" s="5" t="str">
        <x:f>IF(H85="","Sin datos",IF(H85&lt;='Parametros'!$B$3,"Cumple","No cumple"))</x:f>
        <x:v>Sin datos</x:v>
      </x:c>
    </x:row>
    <x:row r="86">
      <x:c r="A86" s="5"/>
      <x:c r="B86" s="7"/>
      <x:c r="C86" s="5" t="str">
        <x:f>IF(B86="","",IFERROR(XLOOKUP(B86,'Locales'!$A$2:$A$200,'Locales'!$B$2:$B$200),"Codigo no encontrado"))</x:f>
      </x:c>
      <x:c r="D86" s="8"/>
      <x:c r="E86" s="8"/>
      <x:c r="F86" s="8"/>
      <x:c r="G86" s="8"/>
      <x:c r="H86" s="8" t="str">
        <x:f>IF(COUNTA(D86:G86)=0,"",D86-E86-F86-G86)</x:f>
      </x:c>
      <x:c r="I86" s="5" t="str">
        <x:f>IF(H86="","Sin datos",IF(H86&lt;='Parametros'!$B$3,"Cumple","No cumple"))</x:f>
        <x:v>Sin datos</x:v>
      </x:c>
    </x:row>
    <x:row r="87">
      <x:c r="A87" s="5"/>
      <x:c r="B87" s="7"/>
      <x:c r="C87" s="5" t="str">
        <x:f>IF(B87="","",IFERROR(XLOOKUP(B87,'Locales'!$A$2:$A$200,'Locales'!$B$2:$B$200),"Codigo no encontrado"))</x:f>
      </x:c>
      <x:c r="D87" s="8"/>
      <x:c r="E87" s="8"/>
      <x:c r="F87" s="8"/>
      <x:c r="G87" s="8"/>
      <x:c r="H87" s="8" t="str">
        <x:f>IF(COUNTA(D87:G87)=0,"",D87-E87-F87-G87)</x:f>
      </x:c>
      <x:c r="I87" s="5" t="str">
        <x:f>IF(H87="","Sin datos",IF(H87&lt;='Parametros'!$B$3,"Cumple","No cumple"))</x:f>
        <x:v>Sin datos</x:v>
      </x:c>
    </x:row>
    <x:row r="88">
      <x:c r="A88" s="5"/>
      <x:c r="B88" s="7"/>
      <x:c r="C88" s="5" t="str">
        <x:f>IF(B88="","",IFERROR(XLOOKUP(B88,'Locales'!$A$2:$A$200,'Locales'!$B$2:$B$200),"Codigo no encontrado"))</x:f>
      </x:c>
      <x:c r="D88" s="8"/>
      <x:c r="E88" s="8"/>
      <x:c r="F88" s="8"/>
      <x:c r="G88" s="8"/>
      <x:c r="H88" s="8" t="str">
        <x:f>IF(COUNTA(D88:G88)=0,"",D88-E88-F88-G88)</x:f>
      </x:c>
      <x:c r="I88" s="5" t="str">
        <x:f>IF(H88="","Sin datos",IF(H88&lt;='Parametros'!$B$3,"Cumple","No cumple"))</x:f>
        <x:v>Sin datos</x:v>
      </x:c>
    </x:row>
    <x:row r="89">
      <x:c r="A89" s="5"/>
      <x:c r="B89" s="7"/>
      <x:c r="C89" s="5" t="str">
        <x:f>IF(B89="","",IFERROR(XLOOKUP(B89,'Locales'!$A$2:$A$200,'Locales'!$B$2:$B$200),"Codigo no encontrado"))</x:f>
      </x:c>
      <x:c r="D89" s="8"/>
      <x:c r="E89" s="8"/>
      <x:c r="F89" s="8"/>
      <x:c r="G89" s="8"/>
      <x:c r="H89" s="8" t="str">
        <x:f>IF(COUNTA(D89:G89)=0,"",D89-E89-F89-G89)</x:f>
      </x:c>
      <x:c r="I89" s="5" t="str">
        <x:f>IF(H89="","Sin datos",IF(H89&lt;='Parametros'!$B$3,"Cumple","No cumple"))</x:f>
        <x:v>Sin datos</x:v>
      </x:c>
    </x:row>
    <x:row r="90">
      <x:c r="A90" s="5"/>
      <x:c r="B90" s="7"/>
      <x:c r="C90" s="5" t="str">
        <x:f>IF(B90="","",IFERROR(XLOOKUP(B90,'Locales'!$A$2:$A$200,'Locales'!$B$2:$B$200),"Codigo no encontrado"))</x:f>
      </x:c>
      <x:c r="D90" s="8"/>
      <x:c r="E90" s="8"/>
      <x:c r="F90" s="8"/>
      <x:c r="G90" s="8"/>
      <x:c r="H90" s="8" t="str">
        <x:f>IF(COUNTA(D90:G90)=0,"",D90-E90-F90-G90)</x:f>
      </x:c>
      <x:c r="I90" s="5" t="str">
        <x:f>IF(H90="","Sin datos",IF(H90&lt;='Parametros'!$B$3,"Cumple","No cumple"))</x:f>
        <x:v>Sin datos</x:v>
      </x:c>
    </x:row>
    <x:row r="91">
      <x:c r="A91" s="5"/>
      <x:c r="B91" s="7"/>
      <x:c r="C91" s="5" t="str">
        <x:f>IF(B91="","",IFERROR(XLOOKUP(B91,'Locales'!$A$2:$A$200,'Locales'!$B$2:$B$200),"Codigo no encontrado"))</x:f>
      </x:c>
      <x:c r="D91" s="8"/>
      <x:c r="E91" s="8"/>
      <x:c r="F91" s="8"/>
      <x:c r="G91" s="8"/>
      <x:c r="H91" s="8" t="str">
        <x:f>IF(COUNTA(D91:G91)=0,"",D91-E91-F91-G91)</x:f>
      </x:c>
      <x:c r="I91" s="5" t="str">
        <x:f>IF(H91="","Sin datos",IF(H91&lt;='Parametros'!$B$3,"Cumple","No cumple"))</x:f>
        <x:v>Sin datos</x:v>
      </x:c>
    </x:row>
    <x:row r="92">
      <x:c r="A92" s="5"/>
      <x:c r="B92" s="7"/>
      <x:c r="C92" s="5" t="str">
        <x:f>IF(B92="","",IFERROR(XLOOKUP(B92,'Locales'!$A$2:$A$200,'Locales'!$B$2:$B$200),"Codigo no encontrado"))</x:f>
      </x:c>
      <x:c r="D92" s="8"/>
      <x:c r="E92" s="8"/>
      <x:c r="F92" s="8"/>
      <x:c r="G92" s="8"/>
      <x:c r="H92" s="8" t="str">
        <x:f>IF(COUNTA(D92:G92)=0,"",D92-E92-F92-G92)</x:f>
      </x:c>
      <x:c r="I92" s="5" t="str">
        <x:f>IF(H92="","Sin datos",IF(H92&lt;='Parametros'!$B$3,"Cumple","No cumple"))</x:f>
        <x:v>Sin datos</x:v>
      </x:c>
    </x:row>
    <x:row r="93">
      <x:c r="A93" s="5"/>
      <x:c r="B93" s="7"/>
      <x:c r="C93" s="5" t="str">
        <x:f>IF(B93="","",IFERROR(XLOOKUP(B93,'Locales'!$A$2:$A$200,'Locales'!$B$2:$B$200),"Codigo no encontrado"))</x:f>
      </x:c>
      <x:c r="D93" s="8"/>
      <x:c r="E93" s="8"/>
      <x:c r="F93" s="8"/>
      <x:c r="G93" s="8"/>
      <x:c r="H93" s="8" t="str">
        <x:f>IF(COUNTA(D93:G93)=0,"",D93-E93-F93-G93)</x:f>
      </x:c>
      <x:c r="I93" s="5" t="str">
        <x:f>IF(H93="","Sin datos",IF(H93&lt;='Parametros'!$B$3,"Cumple","No cumple"))</x:f>
        <x:v>Sin datos</x:v>
      </x:c>
    </x:row>
    <x:row r="94">
      <x:c r="A94" s="5"/>
      <x:c r="B94" s="7"/>
      <x:c r="C94" s="5" t="str">
        <x:f>IF(B94="","",IFERROR(XLOOKUP(B94,'Locales'!$A$2:$A$200,'Locales'!$B$2:$B$200),"Codigo no encontrado"))</x:f>
      </x:c>
      <x:c r="D94" s="8"/>
      <x:c r="E94" s="8"/>
      <x:c r="F94" s="8"/>
      <x:c r="G94" s="8"/>
      <x:c r="H94" s="8" t="str">
        <x:f>IF(COUNTA(D94:G94)=0,"",D94-E94-F94-G94)</x:f>
      </x:c>
      <x:c r="I94" s="5" t="str">
        <x:f>IF(H94="","Sin datos",IF(H94&lt;='Parametros'!$B$3,"Cumple","No cumple"))</x:f>
        <x:v>Sin datos</x:v>
      </x:c>
    </x:row>
    <x:row r="95">
      <x:c r="A95" s="5"/>
      <x:c r="B95" s="7"/>
      <x:c r="C95" s="5" t="str">
        <x:f>IF(B95="","",IFERROR(XLOOKUP(B95,'Locales'!$A$2:$A$200,'Locales'!$B$2:$B$200),"Codigo no encontrado"))</x:f>
      </x:c>
      <x:c r="D95" s="8"/>
      <x:c r="E95" s="8"/>
      <x:c r="F95" s="8"/>
      <x:c r="G95" s="8"/>
      <x:c r="H95" s="8" t="str">
        <x:f>IF(COUNTA(D95:G95)=0,"",D95-E95-F95-G95)</x:f>
      </x:c>
      <x:c r="I95" s="5" t="str">
        <x:f>IF(H95="","Sin datos",IF(H95&lt;='Parametros'!$B$3,"Cumple","No cumple"))</x:f>
        <x:v>Sin datos</x:v>
      </x:c>
    </x:row>
    <x:row r="96">
      <x:c r="A96" s="5"/>
      <x:c r="B96" s="7"/>
      <x:c r="C96" s="5" t="str">
        <x:f>IF(B96="","",IFERROR(XLOOKUP(B96,'Locales'!$A$2:$A$200,'Locales'!$B$2:$B$200),"Codigo no encontrado"))</x:f>
      </x:c>
      <x:c r="D96" s="8"/>
      <x:c r="E96" s="8"/>
      <x:c r="F96" s="8"/>
      <x:c r="G96" s="8"/>
      <x:c r="H96" s="8" t="str">
        <x:f>IF(COUNTA(D96:G96)=0,"",D96-E96-F96-G96)</x:f>
      </x:c>
      <x:c r="I96" s="5" t="str">
        <x:f>IF(H96="","Sin datos",IF(H96&lt;='Parametros'!$B$3,"Cumple","No cumple"))</x:f>
        <x:v>Sin datos</x:v>
      </x:c>
    </x:row>
    <x:row r="97">
      <x:c r="A97" s="5"/>
      <x:c r="B97" s="7"/>
      <x:c r="C97" s="5" t="str">
        <x:f>IF(B97="","",IFERROR(XLOOKUP(B97,'Locales'!$A$2:$A$200,'Locales'!$B$2:$B$200),"Codigo no encontrado"))</x:f>
      </x:c>
      <x:c r="D97" s="8"/>
      <x:c r="E97" s="8"/>
      <x:c r="F97" s="8"/>
      <x:c r="G97" s="8"/>
      <x:c r="H97" s="8" t="str">
        <x:f>IF(COUNTA(D97:G97)=0,"",D97-E97-F97-G97)</x:f>
      </x:c>
      <x:c r="I97" s="5" t="str">
        <x:f>IF(H97="","Sin datos",IF(H97&lt;='Parametros'!$B$3,"Cumple","No cumple"))</x:f>
        <x:v>Sin datos</x:v>
      </x:c>
    </x:row>
    <x:row r="98">
      <x:c r="A98" s="5"/>
      <x:c r="B98" s="7"/>
      <x:c r="C98" s="5" t="str">
        <x:f>IF(B98="","",IFERROR(XLOOKUP(B98,'Locales'!$A$2:$A$200,'Locales'!$B$2:$B$200),"Codigo no encontrado"))</x:f>
      </x:c>
      <x:c r="D98" s="8"/>
      <x:c r="E98" s="8"/>
      <x:c r="F98" s="8"/>
      <x:c r="G98" s="8"/>
      <x:c r="H98" s="8" t="str">
        <x:f>IF(COUNTA(D98:G98)=0,"",D98-E98-F98-G98)</x:f>
      </x:c>
      <x:c r="I98" s="5" t="str">
        <x:f>IF(H98="","Sin datos",IF(H98&lt;='Parametros'!$B$3,"Cumple","No cumple"))</x:f>
        <x:v>Sin datos</x:v>
      </x:c>
    </x:row>
    <x:row r="99">
      <x:c r="A99" s="5"/>
      <x:c r="B99" s="7"/>
      <x:c r="C99" s="5" t="str">
        <x:f>IF(B99="","",IFERROR(XLOOKUP(B99,'Locales'!$A$2:$A$200,'Locales'!$B$2:$B$200),"Codigo no encontrado"))</x:f>
      </x:c>
      <x:c r="D99" s="8"/>
      <x:c r="E99" s="8"/>
      <x:c r="F99" s="8"/>
      <x:c r="G99" s="8"/>
      <x:c r="H99" s="8" t="str">
        <x:f>IF(COUNTA(D99:G99)=0,"",D99-E99-F99-G99)</x:f>
      </x:c>
      <x:c r="I99" s="5" t="str">
        <x:f>IF(H99="","Sin datos",IF(H99&lt;='Parametros'!$B$3,"Cumple","No cumple"))</x:f>
        <x:v>Sin datos</x:v>
      </x:c>
    </x:row>
    <x:row r="100">
      <x:c r="A100" s="5"/>
      <x:c r="B100" s="7"/>
      <x:c r="C100" s="5" t="str">
        <x:f>IF(B100="","",IFERROR(XLOOKUP(B100,'Locales'!$A$2:$A$200,'Locales'!$B$2:$B$200),"Codigo no encontrado"))</x:f>
      </x:c>
      <x:c r="D100" s="8"/>
      <x:c r="E100" s="8"/>
      <x:c r="F100" s="8"/>
      <x:c r="G100" s="8"/>
      <x:c r="H100" s="8" t="str">
        <x:f>IF(COUNTA(D100:G100)=0,"",D100-E100-F100-G100)</x:f>
      </x:c>
      <x:c r="I100" s="5" t="str">
        <x:f>IF(H100="","Sin datos",IF(H100&lt;='Parametros'!$B$3,"Cumple","No cumple"))</x:f>
        <x:v>Sin datos</x:v>
      </x:c>
    </x:row>
    <x:row r="101">
      <x:c r="A101" s="5"/>
      <x:c r="B101" s="7"/>
      <x:c r="C101" s="5" t="str">
        <x:f>IF(B101="","",IFERROR(XLOOKUP(B101,'Locales'!$A$2:$A$200,'Locales'!$B$2:$B$200),"Codigo no encontrado"))</x:f>
      </x:c>
      <x:c r="D101" s="8"/>
      <x:c r="E101" s="8"/>
      <x:c r="F101" s="8"/>
      <x:c r="G101" s="8"/>
      <x:c r="H101" s="8" t="str">
        <x:f>IF(COUNTA(D101:G101)=0,"",D101-E101-F101-G101)</x:f>
      </x:c>
      <x:c r="I101" s="5" t="str">
        <x:f>IF(H101="","Sin datos",IF(H101&lt;='Parametros'!$B$3,"Cumple","No cumple"))</x:f>
        <x:v>Sin datos</x:v>
      </x:c>
    </x:row>
    <x:row r="102">
      <x:c r="A102" s="5"/>
      <x:c r="B102" s="7"/>
      <x:c r="C102" s="5" t="str">
        <x:f>IF(B102="","",IFERROR(XLOOKUP(B102,'Locales'!$A$2:$A$200,'Locales'!$B$2:$B$200),"Codigo no encontrado"))</x:f>
      </x:c>
      <x:c r="D102" s="8"/>
      <x:c r="E102" s="8"/>
      <x:c r="F102" s="8"/>
      <x:c r="G102" s="8"/>
      <x:c r="H102" s="8" t="str">
        <x:f>IF(COUNTA(D102:G102)=0,"",D102-E102-F102-G102)</x:f>
      </x:c>
      <x:c r="I102" s="5" t="str">
        <x:f>IF(H102="","Sin datos",IF(H102&lt;='Parametros'!$B$3,"Cumple","No cumple"))</x:f>
        <x:v>Sin datos</x:v>
      </x:c>
    </x:row>
    <x:row r="103">
      <x:c r="A103" s="5"/>
      <x:c r="B103" s="7"/>
      <x:c r="C103" s="5" t="str">
        <x:f>IF(B103="","",IFERROR(XLOOKUP(B103,'Locales'!$A$2:$A$200,'Locales'!$B$2:$B$200),"Codigo no encontrado"))</x:f>
      </x:c>
      <x:c r="D103" s="8"/>
      <x:c r="E103" s="8"/>
      <x:c r="F103" s="8"/>
      <x:c r="G103" s="8"/>
      <x:c r="H103" s="8" t="str">
        <x:f>IF(COUNTA(D103:G103)=0,"",D103-E103-F103-G103)</x:f>
      </x:c>
      <x:c r="I103" s="5" t="str">
        <x:f>IF(H103="","Sin datos",IF(H103&lt;='Parametros'!$B$3,"Cumple","No cumple"))</x:f>
        <x:v>Sin datos</x:v>
      </x:c>
    </x:row>
    <x:row r="104">
      <x:c r="A104" s="5"/>
      <x:c r="B104" s="7"/>
      <x:c r="C104" s="5" t="str">
        <x:f>IF(B104="","",IFERROR(XLOOKUP(B104,'Locales'!$A$2:$A$200,'Locales'!$B$2:$B$200),"Codigo no encontrado"))</x:f>
      </x:c>
      <x:c r="D104" s="8"/>
      <x:c r="E104" s="8"/>
      <x:c r="F104" s="8"/>
      <x:c r="G104" s="8"/>
      <x:c r="H104" s="8" t="str">
        <x:f>IF(COUNTA(D104:G104)=0,"",D104-E104-F104-G104)</x:f>
      </x:c>
      <x:c r="I104" s="5" t="str">
        <x:f>IF(H104="","Sin datos",IF(H104&lt;='Parametros'!$B$3,"Cumple","No cumple"))</x:f>
        <x:v>Sin datos</x:v>
      </x:c>
    </x:row>
    <x:row r="105">
      <x:c r="A105" s="5"/>
      <x:c r="B105" s="7"/>
      <x:c r="C105" s="5" t="str">
        <x:f>IF(B105="","",IFERROR(XLOOKUP(B105,'Locales'!$A$2:$A$200,'Locales'!$B$2:$B$200),"Codigo no encontrado"))</x:f>
      </x:c>
      <x:c r="D105" s="8"/>
      <x:c r="E105" s="8"/>
      <x:c r="F105" s="8"/>
      <x:c r="G105" s="8"/>
      <x:c r="H105" s="8" t="str">
        <x:f>IF(COUNTA(D105:G105)=0,"",D105-E105-F105-G105)</x:f>
      </x:c>
      <x:c r="I105" s="5" t="str">
        <x:f>IF(H105="","Sin datos",IF(H105&lt;='Parametros'!$B$3,"Cumple","No cumple"))</x:f>
        <x:v>Sin datos</x:v>
      </x:c>
    </x:row>
    <x:row r="106">
      <x:c r="A106" s="5"/>
      <x:c r="B106" s="7"/>
      <x:c r="C106" s="5" t="str">
        <x:f>IF(B106="","",IFERROR(XLOOKUP(B106,'Locales'!$A$2:$A$200,'Locales'!$B$2:$B$200),"Codigo no encontrado"))</x:f>
      </x:c>
      <x:c r="D106" s="8"/>
      <x:c r="E106" s="8"/>
      <x:c r="F106" s="8"/>
      <x:c r="G106" s="8"/>
      <x:c r="H106" s="8" t="str">
        <x:f>IF(COUNTA(D106:G106)=0,"",D106-E106-F106-G106)</x:f>
      </x:c>
      <x:c r="I106" s="5" t="str">
        <x:f>IF(H106="","Sin datos",IF(H106&lt;='Parametros'!$B$3,"Cumple","No cumple"))</x:f>
        <x:v>Sin datos</x:v>
      </x:c>
    </x:row>
    <x:row r="107">
      <x:c r="A107" s="5"/>
      <x:c r="B107" s="7"/>
      <x:c r="C107" s="5" t="str">
        <x:f>IF(B107="","",IFERROR(XLOOKUP(B107,'Locales'!$A$2:$A$200,'Locales'!$B$2:$B$200),"Codigo no encontrado"))</x:f>
      </x:c>
      <x:c r="D107" s="8"/>
      <x:c r="E107" s="8"/>
      <x:c r="F107" s="8"/>
      <x:c r="G107" s="8"/>
      <x:c r="H107" s="8" t="str">
        <x:f>IF(COUNTA(D107:G107)=0,"",D107-E107-F107-G107)</x:f>
      </x:c>
      <x:c r="I107" s="5" t="str">
        <x:f>IF(H107="","Sin datos",IF(H107&lt;='Parametros'!$B$3,"Cumple","No cumple"))</x:f>
        <x:v>Sin datos</x:v>
      </x:c>
    </x:row>
    <x:row r="108">
      <x:c r="A108" s="5"/>
      <x:c r="B108" s="7"/>
      <x:c r="C108" s="5" t="str">
        <x:f>IF(B108="","",IFERROR(XLOOKUP(B108,'Locales'!$A$2:$A$200,'Locales'!$B$2:$B$200),"Codigo no encontrado"))</x:f>
      </x:c>
      <x:c r="D108" s="8"/>
      <x:c r="E108" s="8"/>
      <x:c r="F108" s="8"/>
      <x:c r="G108" s="8"/>
      <x:c r="H108" s="8" t="str">
        <x:f>IF(COUNTA(D108:G108)=0,"",D108-E108-F108-G108)</x:f>
      </x:c>
      <x:c r="I108" s="5" t="str">
        <x:f>IF(H108="","Sin datos",IF(H108&lt;='Parametros'!$B$3,"Cumple","No cumple"))</x:f>
        <x:v>Sin datos</x:v>
      </x:c>
    </x:row>
    <x:row r="109">
      <x:c r="A109" s="5"/>
      <x:c r="B109" s="7"/>
      <x:c r="C109" s="5" t="str">
        <x:f>IF(B109="","",IFERROR(XLOOKUP(B109,'Locales'!$A$2:$A$200,'Locales'!$B$2:$B$200),"Codigo no encontrado"))</x:f>
      </x:c>
      <x:c r="D109" s="8"/>
      <x:c r="E109" s="8"/>
      <x:c r="F109" s="8"/>
      <x:c r="G109" s="8"/>
      <x:c r="H109" s="8" t="str">
        <x:f>IF(COUNTA(D109:G109)=0,"",D109-E109-F109-G109)</x:f>
      </x:c>
      <x:c r="I109" s="5" t="str">
        <x:f>IF(H109="","Sin datos",IF(H109&lt;='Parametros'!$B$3,"Cumple","No cumple"))</x:f>
        <x:v>Sin datos</x:v>
      </x:c>
    </x:row>
    <x:row r="110">
      <x:c r="A110" s="5"/>
      <x:c r="B110" s="7"/>
      <x:c r="C110" s="5" t="str">
        <x:f>IF(B110="","",IFERROR(XLOOKUP(B110,'Locales'!$A$2:$A$200,'Locales'!$B$2:$B$200),"Codigo no encontrado"))</x:f>
      </x:c>
      <x:c r="D110" s="8"/>
      <x:c r="E110" s="8"/>
      <x:c r="F110" s="8"/>
      <x:c r="G110" s="8"/>
      <x:c r="H110" s="8" t="str">
        <x:f>IF(COUNTA(D110:G110)=0,"",D110-E110-F110-G110)</x:f>
      </x:c>
      <x:c r="I110" s="5" t="str">
        <x:f>IF(H110="","Sin datos",IF(H110&lt;='Parametros'!$B$3,"Cumple","No cumple"))</x:f>
        <x:v>Sin datos</x:v>
      </x:c>
    </x:row>
    <x:row r="111">
      <x:c r="A111" s="5"/>
      <x:c r="B111" s="7"/>
      <x:c r="C111" s="5" t="str">
        <x:f>IF(B111="","",IFERROR(XLOOKUP(B111,'Locales'!$A$2:$A$200,'Locales'!$B$2:$B$200),"Codigo no encontrado"))</x:f>
      </x:c>
      <x:c r="D111" s="8"/>
      <x:c r="E111" s="8"/>
      <x:c r="F111" s="8"/>
      <x:c r="G111" s="8"/>
      <x:c r="H111" s="8" t="str">
        <x:f>IF(COUNTA(D111:G111)=0,"",D111-E111-F111-G111)</x:f>
      </x:c>
      <x:c r="I111" s="5" t="str">
        <x:f>IF(H111="","Sin datos",IF(H111&lt;='Parametros'!$B$3,"Cumple","No cumple"))</x:f>
        <x:v>Sin datos</x:v>
      </x:c>
    </x:row>
    <x:row r="112">
      <x:c r="A112" s="5"/>
      <x:c r="B112" s="7"/>
      <x:c r="C112" s="5" t="str">
        <x:f>IF(B112="","",IFERROR(XLOOKUP(B112,'Locales'!$A$2:$A$200,'Locales'!$B$2:$B$200),"Codigo no encontrado"))</x:f>
      </x:c>
      <x:c r="D112" s="8"/>
      <x:c r="E112" s="8"/>
      <x:c r="F112" s="8"/>
      <x:c r="G112" s="8"/>
      <x:c r="H112" s="8" t="str">
        <x:f>IF(COUNTA(D112:G112)=0,"",D112-E112-F112-G112)</x:f>
      </x:c>
      <x:c r="I112" s="5" t="str">
        <x:f>IF(H112="","Sin datos",IF(H112&lt;='Parametros'!$B$3,"Cumple","No cumple"))</x:f>
        <x:v>Sin datos</x:v>
      </x:c>
    </x:row>
    <x:row r="113">
      <x:c r="A113" s="5"/>
      <x:c r="B113" s="7"/>
      <x:c r="C113" s="5" t="str">
        <x:f>IF(B113="","",IFERROR(XLOOKUP(B113,'Locales'!$A$2:$A$200,'Locales'!$B$2:$B$200),"Codigo no encontrado"))</x:f>
      </x:c>
      <x:c r="D113" s="8"/>
      <x:c r="E113" s="8"/>
      <x:c r="F113" s="8"/>
      <x:c r="G113" s="8"/>
      <x:c r="H113" s="8" t="str">
        <x:f>IF(COUNTA(D113:G113)=0,"",D113-E113-F113-G113)</x:f>
      </x:c>
      <x:c r="I113" s="5" t="str">
        <x:f>IF(H113="","Sin datos",IF(H113&lt;='Parametros'!$B$3,"Cumple","No cumple"))</x:f>
        <x:v>Sin datos</x:v>
      </x:c>
    </x:row>
    <x:row r="114">
      <x:c r="A114" s="5"/>
      <x:c r="B114" s="7"/>
      <x:c r="C114" s="5" t="str">
        <x:f>IF(B114="","",IFERROR(XLOOKUP(B114,'Locales'!$A$2:$A$200,'Locales'!$B$2:$B$200),"Codigo no encontrado"))</x:f>
      </x:c>
      <x:c r="D114" s="8"/>
      <x:c r="E114" s="8"/>
      <x:c r="F114" s="8"/>
      <x:c r="G114" s="8"/>
      <x:c r="H114" s="8" t="str">
        <x:f>IF(COUNTA(D114:G114)=0,"",D114-E114-F114-G114)</x:f>
      </x:c>
      <x:c r="I114" s="5" t="str">
        <x:f>IF(H114="","Sin datos",IF(H114&lt;='Parametros'!$B$3,"Cumple","No cumple"))</x:f>
        <x:v>Sin datos</x:v>
      </x:c>
    </x:row>
    <x:row r="115">
      <x:c r="A115" s="5"/>
      <x:c r="B115" s="7"/>
      <x:c r="C115" s="5" t="str">
        <x:f>IF(B115="","",IFERROR(XLOOKUP(B115,'Locales'!$A$2:$A$200,'Locales'!$B$2:$B$200),"Codigo no encontrado"))</x:f>
      </x:c>
      <x:c r="D115" s="8"/>
      <x:c r="E115" s="8"/>
      <x:c r="F115" s="8"/>
      <x:c r="G115" s="8"/>
      <x:c r="H115" s="8" t="str">
        <x:f>IF(COUNTA(D115:G115)=0,"",D115-E115-F115-G115)</x:f>
      </x:c>
      <x:c r="I115" s="5" t="str">
        <x:f>IF(H115="","Sin datos",IF(H115&lt;='Parametros'!$B$3,"Cumple","No cumple"))</x:f>
        <x:v>Sin datos</x:v>
      </x:c>
    </x:row>
    <x:row r="116">
      <x:c r="A116" s="5"/>
      <x:c r="B116" s="7"/>
      <x:c r="C116" s="5" t="str">
        <x:f>IF(B116="","",IFERROR(XLOOKUP(B116,'Locales'!$A$2:$A$200,'Locales'!$B$2:$B$200),"Codigo no encontrado"))</x:f>
      </x:c>
      <x:c r="D116" s="8"/>
      <x:c r="E116" s="8"/>
      <x:c r="F116" s="8"/>
      <x:c r="G116" s="8"/>
      <x:c r="H116" s="8" t="str">
        <x:f>IF(COUNTA(D116:G116)=0,"",D116-E116-F116-G116)</x:f>
      </x:c>
      <x:c r="I116" s="5" t="str">
        <x:f>IF(H116="","Sin datos",IF(H116&lt;='Parametros'!$B$3,"Cumple","No cumple"))</x:f>
        <x:v>Sin datos</x:v>
      </x:c>
    </x:row>
    <x:row r="117">
      <x:c r="A117" s="5"/>
      <x:c r="B117" s="7"/>
      <x:c r="C117" s="5" t="str">
        <x:f>IF(B117="","",IFERROR(XLOOKUP(B117,'Locales'!$A$2:$A$200,'Locales'!$B$2:$B$200),"Codigo no encontrado"))</x:f>
      </x:c>
      <x:c r="D117" s="8"/>
      <x:c r="E117" s="8"/>
      <x:c r="F117" s="8"/>
      <x:c r="G117" s="8"/>
      <x:c r="H117" s="8" t="str">
        <x:f>IF(COUNTA(D117:G117)=0,"",D117-E117-F117-G117)</x:f>
      </x:c>
      <x:c r="I117" s="5" t="str">
        <x:f>IF(H117="","Sin datos",IF(H117&lt;='Parametros'!$B$3,"Cumple","No cumple"))</x:f>
        <x:v>Sin datos</x:v>
      </x:c>
    </x:row>
    <x:row r="118">
      <x:c r="A118" s="5"/>
      <x:c r="B118" s="7"/>
      <x:c r="C118" s="5" t="str">
        <x:f>IF(B118="","",IFERROR(XLOOKUP(B118,'Locales'!$A$2:$A$200,'Locales'!$B$2:$B$200),"Codigo no encontrado"))</x:f>
      </x:c>
      <x:c r="D118" s="8"/>
      <x:c r="E118" s="8"/>
      <x:c r="F118" s="8"/>
      <x:c r="G118" s="8"/>
      <x:c r="H118" s="8" t="str">
        <x:f>IF(COUNTA(D118:G118)=0,"",D118-E118-F118-G118)</x:f>
      </x:c>
      <x:c r="I118" s="5" t="str">
        <x:f>IF(H118="","Sin datos",IF(H118&lt;='Parametros'!$B$3,"Cumple","No cumple"))</x:f>
        <x:v>Sin datos</x:v>
      </x:c>
    </x:row>
    <x:row r="119">
      <x:c r="A119" s="5"/>
      <x:c r="B119" s="7"/>
      <x:c r="C119" s="5" t="str">
        <x:f>IF(B119="","",IFERROR(XLOOKUP(B119,'Locales'!$A$2:$A$200,'Locales'!$B$2:$B$200),"Codigo no encontrado"))</x:f>
      </x:c>
      <x:c r="D119" s="8"/>
      <x:c r="E119" s="8"/>
      <x:c r="F119" s="8"/>
      <x:c r="G119" s="8"/>
      <x:c r="H119" s="8" t="str">
        <x:f>IF(COUNTA(D119:G119)=0,"",D119-E119-F119-G119)</x:f>
      </x:c>
      <x:c r="I119" s="5" t="str">
        <x:f>IF(H119="","Sin datos",IF(H119&lt;='Parametros'!$B$3,"Cumple","No cumple"))</x:f>
        <x:v>Sin datos</x:v>
      </x:c>
    </x:row>
    <x:row r="120">
      <x:c r="A120" s="5"/>
      <x:c r="B120" s="7"/>
      <x:c r="C120" s="5" t="str">
        <x:f>IF(B120="","",IFERROR(XLOOKUP(B120,'Locales'!$A$2:$A$200,'Locales'!$B$2:$B$200),"Codigo no encontrado"))</x:f>
      </x:c>
      <x:c r="D120" s="8"/>
      <x:c r="E120" s="8"/>
      <x:c r="F120" s="8"/>
      <x:c r="G120" s="8"/>
      <x:c r="H120" s="8" t="str">
        <x:f>IF(COUNTA(D120:G120)=0,"",D120-E120-F120-G120)</x:f>
      </x:c>
      <x:c r="I120" s="5" t="str">
        <x:f>IF(H120="","Sin datos",IF(H120&lt;='Parametros'!$B$3,"Cumple","No cumple"))</x:f>
        <x:v>Sin datos</x:v>
      </x:c>
    </x:row>
    <x:row r="121">
      <x:c r="A121" s="5"/>
      <x:c r="B121" s="7"/>
      <x:c r="C121" s="5" t="str">
        <x:f>IF(B121="","",IFERROR(XLOOKUP(B121,'Locales'!$A$2:$A$200,'Locales'!$B$2:$B$200),"Codigo no encontrado"))</x:f>
      </x:c>
      <x:c r="D121" s="8"/>
      <x:c r="E121" s="8"/>
      <x:c r="F121" s="8"/>
      <x:c r="G121" s="8"/>
      <x:c r="H121" s="8" t="str">
        <x:f>IF(COUNTA(D121:G121)=0,"",D121-E121-F121-G121)</x:f>
      </x:c>
      <x:c r="I121" s="5" t="str">
        <x:f>IF(H121="","Sin datos",IF(H121&lt;='Parametros'!$B$3,"Cumple","No cumple"))</x:f>
        <x:v>Sin datos</x:v>
      </x:c>
    </x:row>
    <x:row r="122">
      <x:c r="A122" s="5"/>
      <x:c r="B122" s="7"/>
      <x:c r="C122" s="5" t="str">
        <x:f>IF(B122="","",IFERROR(XLOOKUP(B122,'Locales'!$A$2:$A$200,'Locales'!$B$2:$B$200),"Codigo no encontrado"))</x:f>
      </x:c>
      <x:c r="D122" s="8"/>
      <x:c r="E122" s="8"/>
      <x:c r="F122" s="8"/>
      <x:c r="G122" s="8"/>
      <x:c r="H122" s="8" t="str">
        <x:f>IF(COUNTA(D122:G122)=0,"",D122-E122-F122-G122)</x:f>
      </x:c>
      <x:c r="I122" s="5" t="str">
        <x:f>IF(H122="","Sin datos",IF(H122&lt;='Parametros'!$B$3,"Cumple","No cumple"))</x:f>
        <x:v>Sin datos</x:v>
      </x:c>
    </x:row>
    <x:row r="123">
      <x:c r="A123" s="5"/>
      <x:c r="B123" s="7"/>
      <x:c r="C123" s="5" t="str">
        <x:f>IF(B123="","",IFERROR(XLOOKUP(B123,'Locales'!$A$2:$A$200,'Locales'!$B$2:$B$200),"Codigo no encontrado"))</x:f>
      </x:c>
      <x:c r="D123" s="8"/>
      <x:c r="E123" s="8"/>
      <x:c r="F123" s="8"/>
      <x:c r="G123" s="8"/>
      <x:c r="H123" s="8" t="str">
        <x:f>IF(COUNTA(D123:G123)=0,"",D123-E123-F123-G123)</x:f>
      </x:c>
      <x:c r="I123" s="5" t="str">
        <x:f>IF(H123="","Sin datos",IF(H123&lt;='Parametros'!$B$3,"Cumple","No cumple"))</x:f>
        <x:v>Sin datos</x:v>
      </x:c>
    </x:row>
    <x:row r="124">
      <x:c r="A124" s="5"/>
      <x:c r="B124" s="7"/>
      <x:c r="C124" s="5" t="str">
        <x:f>IF(B124="","",IFERROR(XLOOKUP(B124,'Locales'!$A$2:$A$200,'Locales'!$B$2:$B$200),"Codigo no encontrado"))</x:f>
      </x:c>
      <x:c r="D124" s="8"/>
      <x:c r="E124" s="8"/>
      <x:c r="F124" s="8"/>
      <x:c r="G124" s="8"/>
      <x:c r="H124" s="8" t="str">
        <x:f>IF(COUNTA(D124:G124)=0,"",D124-E124-F124-G124)</x:f>
      </x:c>
      <x:c r="I124" s="5" t="str">
        <x:f>IF(H124="","Sin datos",IF(H124&lt;='Parametros'!$B$3,"Cumple","No cumple"))</x:f>
        <x:v>Sin datos</x:v>
      </x:c>
    </x:row>
    <x:row r="125">
      <x:c r="A125" s="5"/>
      <x:c r="B125" s="7"/>
      <x:c r="C125" s="5" t="str">
        <x:f>IF(B125="","",IFERROR(XLOOKUP(B125,'Locales'!$A$2:$A$200,'Locales'!$B$2:$B$200),"Codigo no encontrado"))</x:f>
      </x:c>
      <x:c r="D125" s="8"/>
      <x:c r="E125" s="8"/>
      <x:c r="F125" s="8"/>
      <x:c r="G125" s="8"/>
      <x:c r="H125" s="8" t="str">
        <x:f>IF(COUNTA(D125:G125)=0,"",D125-E125-F125-G125)</x:f>
      </x:c>
      <x:c r="I125" s="5" t="str">
        <x:f>IF(H125="","Sin datos",IF(H125&lt;='Parametros'!$B$3,"Cumple","No cumple"))</x:f>
        <x:v>Sin datos</x:v>
      </x:c>
    </x:row>
    <x:row r="126">
      <x:c r="A126" s="5"/>
      <x:c r="B126" s="7"/>
      <x:c r="C126" s="5" t="str">
        <x:f>IF(B126="","",IFERROR(XLOOKUP(B126,'Locales'!$A$2:$A$200,'Locales'!$B$2:$B$200),"Codigo no encontrado"))</x:f>
      </x:c>
      <x:c r="D126" s="8"/>
      <x:c r="E126" s="8"/>
      <x:c r="F126" s="8"/>
      <x:c r="G126" s="8"/>
      <x:c r="H126" s="8" t="str">
        <x:f>IF(COUNTA(D126:G126)=0,"",D126-E126-F126-G126)</x:f>
      </x:c>
      <x:c r="I126" s="5" t="str">
        <x:f>IF(H126="","Sin datos",IF(H126&lt;='Parametros'!$B$3,"Cumple","No cumple"))</x:f>
        <x:v>Sin datos</x:v>
      </x:c>
    </x:row>
    <x:row r="127">
      <x:c r="A127" s="5"/>
      <x:c r="B127" s="7"/>
      <x:c r="C127" s="5" t="str">
        <x:f>IF(B127="","",IFERROR(XLOOKUP(B127,'Locales'!$A$2:$A$200,'Locales'!$B$2:$B$200),"Codigo no encontrado"))</x:f>
      </x:c>
      <x:c r="D127" s="8"/>
      <x:c r="E127" s="8"/>
      <x:c r="F127" s="8"/>
      <x:c r="G127" s="8"/>
      <x:c r="H127" s="8" t="str">
        <x:f>IF(COUNTA(D127:G127)=0,"",D127-E127-F127-G127)</x:f>
      </x:c>
      <x:c r="I127" s="5" t="str">
        <x:f>IF(H127="","Sin datos",IF(H127&lt;='Parametros'!$B$3,"Cumple","No cumple"))</x:f>
        <x:v>Sin datos</x:v>
      </x:c>
    </x:row>
    <x:row r="128">
      <x:c r="A128" s="5"/>
      <x:c r="B128" s="7"/>
      <x:c r="C128" s="5" t="str">
        <x:f>IF(B128="","",IFERROR(XLOOKUP(B128,'Locales'!$A$2:$A$200,'Locales'!$B$2:$B$200),"Codigo no encontrado"))</x:f>
      </x:c>
      <x:c r="D128" s="8"/>
      <x:c r="E128" s="8"/>
      <x:c r="F128" s="8"/>
      <x:c r="G128" s="8"/>
      <x:c r="H128" s="8" t="str">
        <x:f>IF(COUNTA(D128:G128)=0,"",D128-E128-F128-G128)</x:f>
      </x:c>
      <x:c r="I128" s="5" t="str">
        <x:f>IF(H128="","Sin datos",IF(H128&lt;='Parametros'!$B$3,"Cumple","No cumple"))</x:f>
        <x:v>Sin datos</x:v>
      </x:c>
    </x:row>
    <x:row r="129">
      <x:c r="A129" s="5"/>
      <x:c r="B129" s="7"/>
      <x:c r="C129" s="5" t="str">
        <x:f>IF(B129="","",IFERROR(XLOOKUP(B129,'Locales'!$A$2:$A$200,'Locales'!$B$2:$B$200),"Codigo no encontrado"))</x:f>
      </x:c>
      <x:c r="D129" s="8"/>
      <x:c r="E129" s="8"/>
      <x:c r="F129" s="8"/>
      <x:c r="G129" s="8"/>
      <x:c r="H129" s="8" t="str">
        <x:f>IF(COUNTA(D129:G129)=0,"",D129-E129-F129-G129)</x:f>
      </x:c>
      <x:c r="I129" s="5" t="str">
        <x:f>IF(H129="","Sin datos",IF(H129&lt;='Parametros'!$B$3,"Cumple","No cumple"))</x:f>
        <x:v>Sin datos</x:v>
      </x:c>
    </x:row>
    <x:row r="130">
      <x:c r="A130" s="5"/>
      <x:c r="B130" s="7"/>
      <x:c r="C130" s="5" t="str">
        <x:f>IF(B130="","",IFERROR(XLOOKUP(B130,'Locales'!$A$2:$A$200,'Locales'!$B$2:$B$200),"Codigo no encontrado"))</x:f>
      </x:c>
      <x:c r="D130" s="8"/>
      <x:c r="E130" s="8"/>
      <x:c r="F130" s="8"/>
      <x:c r="G130" s="8"/>
      <x:c r="H130" s="8" t="str">
        <x:f>IF(COUNTA(D130:G130)=0,"",D130-E130-F130-G130)</x:f>
      </x:c>
      <x:c r="I130" s="5" t="str">
        <x:f>IF(H130="","Sin datos",IF(H130&lt;='Parametros'!$B$3,"Cumple","No cumple"))</x:f>
        <x:v>Sin datos</x:v>
      </x:c>
    </x:row>
    <x:row r="131">
      <x:c r="A131" s="5"/>
      <x:c r="B131" s="7"/>
      <x:c r="C131" s="5" t="str">
        <x:f>IF(B131="","",IFERROR(XLOOKUP(B131,'Locales'!$A$2:$A$200,'Locales'!$B$2:$B$200),"Codigo no encontrado"))</x:f>
      </x:c>
      <x:c r="D131" s="8"/>
      <x:c r="E131" s="8"/>
      <x:c r="F131" s="8"/>
      <x:c r="G131" s="8"/>
      <x:c r="H131" s="8" t="str">
        <x:f>IF(COUNTA(D131:G131)=0,"",D131-E131-F131-G131)</x:f>
      </x:c>
      <x:c r="I131" s="5" t="str">
        <x:f>IF(H131="","Sin datos",IF(H131&lt;='Parametros'!$B$3,"Cumple","No cumple"))</x:f>
        <x:v>Sin datos</x:v>
      </x:c>
    </x:row>
    <x:row r="132">
      <x:c r="A132" s="5"/>
      <x:c r="B132" s="7"/>
      <x:c r="C132" s="5" t="str">
        <x:f>IF(B132="","",IFERROR(XLOOKUP(B132,'Locales'!$A$2:$A$200,'Locales'!$B$2:$B$200),"Codigo no encontrado"))</x:f>
      </x:c>
      <x:c r="D132" s="8"/>
      <x:c r="E132" s="8"/>
      <x:c r="F132" s="8"/>
      <x:c r="G132" s="8"/>
      <x:c r="H132" s="8" t="str">
        <x:f>IF(COUNTA(D132:G132)=0,"",D132-E132-F132-G132)</x:f>
      </x:c>
      <x:c r="I132" s="5" t="str">
        <x:f>IF(H132="","Sin datos",IF(H132&lt;='Parametros'!$B$3,"Cumple","No cumple"))</x:f>
        <x:v>Sin datos</x:v>
      </x:c>
    </x:row>
    <x:row r="133">
      <x:c r="A133" s="5"/>
      <x:c r="B133" s="7"/>
      <x:c r="C133" s="5" t="str">
        <x:f>IF(B133="","",IFERROR(XLOOKUP(B133,'Locales'!$A$2:$A$200,'Locales'!$B$2:$B$200),"Codigo no encontrado"))</x:f>
      </x:c>
      <x:c r="D133" s="8"/>
      <x:c r="E133" s="8"/>
      <x:c r="F133" s="8"/>
      <x:c r="G133" s="8"/>
      <x:c r="H133" s="8" t="str">
        <x:f>IF(COUNTA(D133:G133)=0,"",D133-E133-F133-G133)</x:f>
      </x:c>
      <x:c r="I133" s="5" t="str">
        <x:f>IF(H133="","Sin datos",IF(H133&lt;='Parametros'!$B$3,"Cumple","No cumple"))</x:f>
        <x:v>Sin datos</x:v>
      </x:c>
    </x:row>
    <x:row r="134">
      <x:c r="A134" s="5"/>
      <x:c r="B134" s="7"/>
      <x:c r="C134" s="5" t="str">
        <x:f>IF(B134="","",IFERROR(XLOOKUP(B134,'Locales'!$A$2:$A$200,'Locales'!$B$2:$B$200),"Codigo no encontrado"))</x:f>
      </x:c>
      <x:c r="D134" s="8"/>
      <x:c r="E134" s="8"/>
      <x:c r="F134" s="8"/>
      <x:c r="G134" s="8"/>
      <x:c r="H134" s="8" t="str">
        <x:f>IF(COUNTA(D134:G134)=0,"",D134-E134-F134-G134)</x:f>
      </x:c>
      <x:c r="I134" s="5" t="str">
        <x:f>IF(H134="","Sin datos",IF(H134&lt;='Parametros'!$B$3,"Cumple","No cumple"))</x:f>
        <x:v>Sin datos</x:v>
      </x:c>
    </x:row>
    <x:row r="135">
      <x:c r="A135" s="5"/>
      <x:c r="B135" s="7"/>
      <x:c r="C135" s="5" t="str">
        <x:f>IF(B135="","",IFERROR(XLOOKUP(B135,'Locales'!$A$2:$A$200,'Locales'!$B$2:$B$200),"Codigo no encontrado"))</x:f>
      </x:c>
      <x:c r="D135" s="8"/>
      <x:c r="E135" s="8"/>
      <x:c r="F135" s="8"/>
      <x:c r="G135" s="8"/>
      <x:c r="H135" s="8" t="str">
        <x:f>IF(COUNTA(D135:G135)=0,"",D135-E135-F135-G135)</x:f>
      </x:c>
      <x:c r="I135" s="5" t="str">
        <x:f>IF(H135="","Sin datos",IF(H135&lt;='Parametros'!$B$3,"Cumple","No cumple"))</x:f>
        <x:v>Sin datos</x:v>
      </x:c>
    </x:row>
    <x:row r="136">
      <x:c r="A136" s="5"/>
      <x:c r="B136" s="7"/>
      <x:c r="C136" s="5" t="str">
        <x:f>IF(B136="","",IFERROR(XLOOKUP(B136,'Locales'!$A$2:$A$200,'Locales'!$B$2:$B$200),"Codigo no encontrado"))</x:f>
      </x:c>
      <x:c r="D136" s="8"/>
      <x:c r="E136" s="8"/>
      <x:c r="F136" s="8"/>
      <x:c r="G136" s="8"/>
      <x:c r="H136" s="8" t="str">
        <x:f>IF(COUNTA(D136:G136)=0,"",D136-E136-F136-G136)</x:f>
      </x:c>
      <x:c r="I136" s="5" t="str">
        <x:f>IF(H136="","Sin datos",IF(H136&lt;='Parametros'!$B$3,"Cumple","No cumple"))</x:f>
        <x:v>Sin datos</x:v>
      </x:c>
    </x:row>
    <x:row r="137">
      <x:c r="A137" s="5"/>
      <x:c r="B137" s="7"/>
      <x:c r="C137" s="5" t="str">
        <x:f>IF(B137="","",IFERROR(XLOOKUP(B137,'Locales'!$A$2:$A$200,'Locales'!$B$2:$B$200),"Codigo no encontrado"))</x:f>
      </x:c>
      <x:c r="D137" s="8"/>
      <x:c r="E137" s="8"/>
      <x:c r="F137" s="8"/>
      <x:c r="G137" s="8"/>
      <x:c r="H137" s="8" t="str">
        <x:f>IF(COUNTA(D137:G137)=0,"",D137-E137-F137-G137)</x:f>
      </x:c>
      <x:c r="I137" s="5" t="str">
        <x:f>IF(H137="","Sin datos",IF(H137&lt;='Parametros'!$B$3,"Cumple","No cumple"))</x:f>
        <x:v>Sin datos</x:v>
      </x:c>
    </x:row>
    <x:row r="138">
      <x:c r="A138" s="5"/>
      <x:c r="B138" s="7"/>
      <x:c r="C138" s="5" t="str">
        <x:f>IF(B138="","",IFERROR(XLOOKUP(B138,'Locales'!$A$2:$A$200,'Locales'!$B$2:$B$200),"Codigo no encontrado"))</x:f>
      </x:c>
      <x:c r="D138" s="8"/>
      <x:c r="E138" s="8"/>
      <x:c r="F138" s="8"/>
      <x:c r="G138" s="8"/>
      <x:c r="H138" s="8" t="str">
        <x:f>IF(COUNTA(D138:G138)=0,"",D138-E138-F138-G138)</x:f>
      </x:c>
      <x:c r="I138" s="5" t="str">
        <x:f>IF(H138="","Sin datos",IF(H138&lt;='Parametros'!$B$3,"Cumple","No cumple"))</x:f>
        <x:v>Sin datos</x:v>
      </x:c>
    </x:row>
    <x:row r="139">
      <x:c r="A139" s="5"/>
      <x:c r="B139" s="7"/>
      <x:c r="C139" s="5" t="str">
        <x:f>IF(B139="","",IFERROR(XLOOKUP(B139,'Locales'!$A$2:$A$200,'Locales'!$B$2:$B$200),"Codigo no encontrado"))</x:f>
      </x:c>
      <x:c r="D139" s="8"/>
      <x:c r="E139" s="8"/>
      <x:c r="F139" s="8"/>
      <x:c r="G139" s="8"/>
      <x:c r="H139" s="8" t="str">
        <x:f>IF(COUNTA(D139:G139)=0,"",D139-E139-F139-G139)</x:f>
      </x:c>
      <x:c r="I139" s="5" t="str">
        <x:f>IF(H139="","Sin datos",IF(H139&lt;='Parametros'!$B$3,"Cumple","No cumple"))</x:f>
        <x:v>Sin datos</x:v>
      </x:c>
    </x:row>
    <x:row r="140">
      <x:c r="A140" s="5"/>
      <x:c r="B140" s="7"/>
      <x:c r="C140" s="5" t="str">
        <x:f>IF(B140="","",IFERROR(XLOOKUP(B140,'Locales'!$A$2:$A$200,'Locales'!$B$2:$B$200),"Codigo no encontrado"))</x:f>
      </x:c>
      <x:c r="D140" s="8"/>
      <x:c r="E140" s="8"/>
      <x:c r="F140" s="8"/>
      <x:c r="G140" s="8"/>
      <x:c r="H140" s="8" t="str">
        <x:f>IF(COUNTA(D140:G140)=0,"",D140-E140-F140-G140)</x:f>
      </x:c>
      <x:c r="I140" s="5" t="str">
        <x:f>IF(H140="","Sin datos",IF(H140&lt;='Parametros'!$B$3,"Cumple","No cumple"))</x:f>
        <x:v>Sin datos</x:v>
      </x:c>
    </x:row>
    <x:row r="141">
      <x:c r="A141" s="5"/>
      <x:c r="B141" s="7"/>
      <x:c r="C141" s="5" t="str">
        <x:f>IF(B141="","",IFERROR(XLOOKUP(B141,'Locales'!$A$2:$A$200,'Locales'!$B$2:$B$200),"Codigo no encontrado"))</x:f>
      </x:c>
      <x:c r="D141" s="8"/>
      <x:c r="E141" s="8"/>
      <x:c r="F141" s="8"/>
      <x:c r="G141" s="8"/>
      <x:c r="H141" s="8" t="str">
        <x:f>IF(COUNTA(D141:G141)=0,"",D141-E141-F141-G141)</x:f>
      </x:c>
      <x:c r="I141" s="5" t="str">
        <x:f>IF(H141="","Sin datos",IF(H141&lt;='Parametros'!$B$3,"Cumple","No cumple"))</x:f>
        <x:v>Sin datos</x:v>
      </x:c>
    </x:row>
    <x:row r="142">
      <x:c r="A142" s="5"/>
      <x:c r="B142" s="7"/>
      <x:c r="C142" s="5" t="str">
        <x:f>IF(B142="","",IFERROR(XLOOKUP(B142,'Locales'!$A$2:$A$200,'Locales'!$B$2:$B$200),"Codigo no encontrado"))</x:f>
      </x:c>
      <x:c r="D142" s="8"/>
      <x:c r="E142" s="8"/>
      <x:c r="F142" s="8"/>
      <x:c r="G142" s="8"/>
      <x:c r="H142" s="8" t="str">
        <x:f>IF(COUNTA(D142:G142)=0,"",D142-E142-F142-G142)</x:f>
      </x:c>
      <x:c r="I142" s="5" t="str">
        <x:f>IF(H142="","Sin datos",IF(H142&lt;='Parametros'!$B$3,"Cumple","No cumple"))</x:f>
        <x:v>Sin datos</x:v>
      </x:c>
    </x:row>
    <x:row r="143">
      <x:c r="A143" s="5"/>
      <x:c r="B143" s="7"/>
      <x:c r="C143" s="5" t="str">
        <x:f>IF(B143="","",IFERROR(XLOOKUP(B143,'Locales'!$A$2:$A$200,'Locales'!$B$2:$B$200),"Codigo no encontrado"))</x:f>
      </x:c>
      <x:c r="D143" s="8"/>
      <x:c r="E143" s="8"/>
      <x:c r="F143" s="8"/>
      <x:c r="G143" s="8"/>
      <x:c r="H143" s="8" t="str">
        <x:f>IF(COUNTA(D143:G143)=0,"",D143-E143-F143-G143)</x:f>
      </x:c>
      <x:c r="I143" s="5" t="str">
        <x:f>IF(H143="","Sin datos",IF(H143&lt;='Parametros'!$B$3,"Cumple","No cumple"))</x:f>
        <x:v>Sin datos</x:v>
      </x:c>
    </x:row>
    <x:row r="144">
      <x:c r="A144" s="5"/>
      <x:c r="B144" s="7"/>
      <x:c r="C144" s="5" t="str">
        <x:f>IF(B144="","",IFERROR(XLOOKUP(B144,'Locales'!$A$2:$A$200,'Locales'!$B$2:$B$200),"Codigo no encontrado"))</x:f>
      </x:c>
      <x:c r="D144" s="8"/>
      <x:c r="E144" s="8"/>
      <x:c r="F144" s="8"/>
      <x:c r="G144" s="8"/>
      <x:c r="H144" s="8" t="str">
        <x:f>IF(COUNTA(D144:G144)=0,"",D144-E144-F144-G144)</x:f>
      </x:c>
      <x:c r="I144" s="5" t="str">
        <x:f>IF(H144="","Sin datos",IF(H144&lt;='Parametros'!$B$3,"Cumple","No cumple"))</x:f>
        <x:v>Sin datos</x:v>
      </x:c>
    </x:row>
    <x:row r="145">
      <x:c r="A145" s="5"/>
      <x:c r="B145" s="7"/>
      <x:c r="C145" s="5" t="str">
        <x:f>IF(B145="","",IFERROR(XLOOKUP(B145,'Locales'!$A$2:$A$200,'Locales'!$B$2:$B$200),"Codigo no encontrado"))</x:f>
      </x:c>
      <x:c r="D145" s="8"/>
      <x:c r="E145" s="8"/>
      <x:c r="F145" s="8"/>
      <x:c r="G145" s="8"/>
      <x:c r="H145" s="8" t="str">
        <x:f>IF(COUNTA(D145:G145)=0,"",D145-E145-F145-G145)</x:f>
      </x:c>
      <x:c r="I145" s="5" t="str">
        <x:f>IF(H145="","Sin datos",IF(H145&lt;='Parametros'!$B$3,"Cumple","No cumple"))</x:f>
        <x:v>Sin datos</x:v>
      </x:c>
    </x:row>
    <x:row r="146">
      <x:c r="A146" s="5"/>
      <x:c r="B146" s="7"/>
      <x:c r="C146" s="5" t="str">
        <x:f>IF(B146="","",IFERROR(XLOOKUP(B146,'Locales'!$A$2:$A$200,'Locales'!$B$2:$B$200),"Codigo no encontrado"))</x:f>
      </x:c>
      <x:c r="D146" s="8"/>
      <x:c r="E146" s="8"/>
      <x:c r="F146" s="8"/>
      <x:c r="G146" s="8"/>
      <x:c r="H146" s="8" t="str">
        <x:f>IF(COUNTA(D146:G146)=0,"",D146-E146-F146-G146)</x:f>
      </x:c>
      <x:c r="I146" s="5" t="str">
        <x:f>IF(H146="","Sin datos",IF(H146&lt;='Parametros'!$B$3,"Cumple","No cumple"))</x:f>
        <x:v>Sin datos</x:v>
      </x:c>
    </x:row>
    <x:row r="147">
      <x:c r="A147" s="5"/>
      <x:c r="B147" s="7"/>
      <x:c r="C147" s="5" t="str">
        <x:f>IF(B147="","",IFERROR(XLOOKUP(B147,'Locales'!$A$2:$A$200,'Locales'!$B$2:$B$200),"Codigo no encontrado"))</x:f>
      </x:c>
      <x:c r="D147" s="8"/>
      <x:c r="E147" s="8"/>
      <x:c r="F147" s="8"/>
      <x:c r="G147" s="8"/>
      <x:c r="H147" s="8" t="str">
        <x:f>IF(COUNTA(D147:G147)=0,"",D147-E147-F147-G147)</x:f>
      </x:c>
      <x:c r="I147" s="5" t="str">
        <x:f>IF(H147="","Sin datos",IF(H147&lt;='Parametros'!$B$3,"Cumple","No cumple"))</x:f>
        <x:v>Sin datos</x:v>
      </x:c>
    </x:row>
    <x:row r="148">
      <x:c r="A148" s="5"/>
      <x:c r="B148" s="7"/>
      <x:c r="C148" s="5" t="str">
        <x:f>IF(B148="","",IFERROR(XLOOKUP(B148,'Locales'!$A$2:$A$200,'Locales'!$B$2:$B$200),"Codigo no encontrado"))</x:f>
      </x:c>
      <x:c r="D148" s="8"/>
      <x:c r="E148" s="8"/>
      <x:c r="F148" s="8"/>
      <x:c r="G148" s="8"/>
      <x:c r="H148" s="8" t="str">
        <x:f>IF(COUNTA(D148:G148)=0,"",D148-E148-F148-G148)</x:f>
      </x:c>
      <x:c r="I148" s="5" t="str">
        <x:f>IF(H148="","Sin datos",IF(H148&lt;='Parametros'!$B$3,"Cumple","No cumple"))</x:f>
        <x:v>Sin datos</x:v>
      </x:c>
    </x:row>
    <x:row r="149">
      <x:c r="A149" s="5"/>
      <x:c r="B149" s="7"/>
      <x:c r="C149" s="5" t="str">
        <x:f>IF(B149="","",IFERROR(XLOOKUP(B149,'Locales'!$A$2:$A$200,'Locales'!$B$2:$B$200),"Codigo no encontrado"))</x:f>
      </x:c>
      <x:c r="D149" s="8"/>
      <x:c r="E149" s="8"/>
      <x:c r="F149" s="8"/>
      <x:c r="G149" s="8"/>
      <x:c r="H149" s="8" t="str">
        <x:f>IF(COUNTA(D149:G149)=0,"",D149-E149-F149-G149)</x:f>
      </x:c>
      <x:c r="I149" s="5" t="str">
        <x:f>IF(H149="","Sin datos",IF(H149&lt;='Parametros'!$B$3,"Cumple","No cumple"))</x:f>
        <x:v>Sin datos</x:v>
      </x:c>
    </x:row>
    <x:row r="150">
      <x:c r="A150" s="5"/>
      <x:c r="B150" s="7"/>
      <x:c r="C150" s="5" t="str">
        <x:f>IF(B150="","",IFERROR(XLOOKUP(B150,'Locales'!$A$2:$A$200,'Locales'!$B$2:$B$200),"Codigo no encontrado"))</x:f>
      </x:c>
      <x:c r="D150" s="8"/>
      <x:c r="E150" s="8"/>
      <x:c r="F150" s="8"/>
      <x:c r="G150" s="8"/>
      <x:c r="H150" s="8" t="str">
        <x:f>IF(COUNTA(D150:G150)=0,"",D150-E150-F150-G150)</x:f>
      </x:c>
      <x:c r="I150" s="5" t="str">
        <x:f>IF(H150="","Sin datos",IF(H150&lt;='Parametros'!$B$3,"Cumple","No cumple"))</x:f>
        <x:v>Sin datos</x:v>
      </x:c>
    </x:row>
    <x:row r="151">
      <x:c r="A151" s="5"/>
      <x:c r="B151" s="7"/>
      <x:c r="C151" s="5" t="str">
        <x:f>IF(B151="","",IFERROR(XLOOKUP(B151,'Locales'!$A$2:$A$200,'Locales'!$B$2:$B$200),"Codigo no encontrado"))</x:f>
      </x:c>
      <x:c r="D151" s="8"/>
      <x:c r="E151" s="8"/>
      <x:c r="F151" s="8"/>
      <x:c r="G151" s="8"/>
      <x:c r="H151" s="8" t="str">
        <x:f>IF(COUNTA(D151:G151)=0,"",D151-E151-F151-G151)</x:f>
      </x:c>
      <x:c r="I151" s="5" t="str">
        <x:f>IF(H151="","Sin datos",IF(H151&lt;='Parametros'!$B$3,"Cumple","No cumple"))</x:f>
        <x:v>Sin datos</x:v>
      </x:c>
    </x:row>
    <x:row r="152">
      <x:c r="A152" s="5"/>
      <x:c r="B152" s="7"/>
      <x:c r="C152" s="5" t="str">
        <x:f>IF(B152="","",IFERROR(XLOOKUP(B152,'Locales'!$A$2:$A$200,'Locales'!$B$2:$B$200),"Codigo no encontrado"))</x:f>
      </x:c>
      <x:c r="D152" s="8"/>
      <x:c r="E152" s="8"/>
      <x:c r="F152" s="8"/>
      <x:c r="G152" s="8"/>
      <x:c r="H152" s="8" t="str">
        <x:f>IF(COUNTA(D152:G152)=0,"",D152-E152-F152-G152)</x:f>
      </x:c>
      <x:c r="I152" s="5" t="str">
        <x:f>IF(H152="","Sin datos",IF(H152&lt;='Parametros'!$B$3,"Cumple","No cumple"))</x:f>
        <x:v>Sin datos</x:v>
      </x:c>
    </x:row>
    <x:row r="153">
      <x:c r="A153" s="5"/>
      <x:c r="B153" s="7"/>
      <x:c r="C153" s="5" t="str">
        <x:f>IF(B153="","",IFERROR(XLOOKUP(B153,'Locales'!$A$2:$A$200,'Locales'!$B$2:$B$200),"Codigo no encontrado"))</x:f>
      </x:c>
      <x:c r="D153" s="8"/>
      <x:c r="E153" s="8"/>
      <x:c r="F153" s="8"/>
      <x:c r="G153" s="8"/>
      <x:c r="H153" s="8" t="str">
        <x:f>IF(COUNTA(D153:G153)=0,"",D153-E153-F153-G153)</x:f>
      </x:c>
      <x:c r="I153" s="5" t="str">
        <x:f>IF(H153="","Sin datos",IF(H153&lt;='Parametros'!$B$3,"Cumple","No cumple"))</x:f>
        <x:v>Sin datos</x:v>
      </x:c>
    </x:row>
    <x:row r="154">
      <x:c r="A154" s="5"/>
      <x:c r="B154" s="7"/>
      <x:c r="C154" s="5" t="str">
        <x:f>IF(B154="","",IFERROR(XLOOKUP(B154,'Locales'!$A$2:$A$200,'Locales'!$B$2:$B$200),"Codigo no encontrado"))</x:f>
      </x:c>
      <x:c r="D154" s="8"/>
      <x:c r="E154" s="8"/>
      <x:c r="F154" s="8"/>
      <x:c r="G154" s="8"/>
      <x:c r="H154" s="8" t="str">
        <x:f>IF(COUNTA(D154:G154)=0,"",D154-E154-F154-G154)</x:f>
      </x:c>
      <x:c r="I154" s="5" t="str">
        <x:f>IF(H154="","Sin datos",IF(H154&lt;='Parametros'!$B$3,"Cumple","No cumple"))</x:f>
        <x:v>Sin datos</x:v>
      </x:c>
    </x:row>
    <x:row r="155">
      <x:c r="A155" s="5"/>
      <x:c r="B155" s="7"/>
      <x:c r="C155" s="5" t="str">
        <x:f>IF(B155="","",IFERROR(XLOOKUP(B155,'Locales'!$A$2:$A$200,'Locales'!$B$2:$B$200),"Codigo no encontrado"))</x:f>
      </x:c>
      <x:c r="D155" s="8"/>
      <x:c r="E155" s="8"/>
      <x:c r="F155" s="8"/>
      <x:c r="G155" s="8"/>
      <x:c r="H155" s="8" t="str">
        <x:f>IF(COUNTA(D155:G155)=0,"",D155-E155-F155-G155)</x:f>
      </x:c>
      <x:c r="I155" s="5" t="str">
        <x:f>IF(H155="","Sin datos",IF(H155&lt;='Parametros'!$B$3,"Cumple","No cumple"))</x:f>
        <x:v>Sin datos</x:v>
      </x:c>
    </x:row>
    <x:row r="156">
      <x:c r="A156" s="5"/>
      <x:c r="B156" s="7"/>
      <x:c r="C156" s="5" t="str">
        <x:f>IF(B156="","",IFERROR(XLOOKUP(B156,'Locales'!$A$2:$A$200,'Locales'!$B$2:$B$200),"Codigo no encontrado"))</x:f>
      </x:c>
      <x:c r="D156" s="8"/>
      <x:c r="E156" s="8"/>
      <x:c r="F156" s="8"/>
      <x:c r="G156" s="8"/>
      <x:c r="H156" s="8" t="str">
        <x:f>IF(COUNTA(D156:G156)=0,"",D156-E156-F156-G156)</x:f>
      </x:c>
      <x:c r="I156" s="5" t="str">
        <x:f>IF(H156="","Sin datos",IF(H156&lt;='Parametros'!$B$3,"Cumple","No cumple"))</x:f>
        <x:v>Sin datos</x:v>
      </x:c>
    </x:row>
    <x:row r="157">
      <x:c r="A157" s="5"/>
      <x:c r="B157" s="7"/>
      <x:c r="C157" s="5" t="str">
        <x:f>IF(B157="","",IFERROR(XLOOKUP(B157,'Locales'!$A$2:$A$200,'Locales'!$B$2:$B$200),"Codigo no encontrado"))</x:f>
      </x:c>
      <x:c r="D157" s="8"/>
      <x:c r="E157" s="8"/>
      <x:c r="F157" s="8"/>
      <x:c r="G157" s="8"/>
      <x:c r="H157" s="8" t="str">
        <x:f>IF(COUNTA(D157:G157)=0,"",D157-E157-F157-G157)</x:f>
      </x:c>
      <x:c r="I157" s="5" t="str">
        <x:f>IF(H157="","Sin datos",IF(H157&lt;='Parametros'!$B$3,"Cumple","No cumple"))</x:f>
        <x:v>Sin datos</x:v>
      </x:c>
    </x:row>
    <x:row r="158">
      <x:c r="A158" s="5"/>
      <x:c r="B158" s="7"/>
      <x:c r="C158" s="5" t="str">
        <x:f>IF(B158="","",IFERROR(XLOOKUP(B158,'Locales'!$A$2:$A$200,'Locales'!$B$2:$B$200),"Codigo no encontrado"))</x:f>
      </x:c>
      <x:c r="D158" s="8"/>
      <x:c r="E158" s="8"/>
      <x:c r="F158" s="8"/>
      <x:c r="G158" s="8"/>
      <x:c r="H158" s="8" t="str">
        <x:f>IF(COUNTA(D158:G158)=0,"",D158-E158-F158-G158)</x:f>
      </x:c>
      <x:c r="I158" s="5" t="str">
        <x:f>IF(H158="","Sin datos",IF(H158&lt;='Parametros'!$B$3,"Cumple","No cumple"))</x:f>
        <x:v>Sin datos</x:v>
      </x:c>
    </x:row>
    <x:row r="159">
      <x:c r="A159" s="5"/>
      <x:c r="B159" s="7"/>
      <x:c r="C159" s="5" t="str">
        <x:f>IF(B159="","",IFERROR(XLOOKUP(B159,'Locales'!$A$2:$A$200,'Locales'!$B$2:$B$200),"Codigo no encontrado"))</x:f>
      </x:c>
      <x:c r="D159" s="8"/>
      <x:c r="E159" s="8"/>
      <x:c r="F159" s="8"/>
      <x:c r="G159" s="8"/>
      <x:c r="H159" s="8" t="str">
        <x:f>IF(COUNTA(D159:G159)=0,"",D159-E159-F159-G159)</x:f>
      </x:c>
      <x:c r="I159" s="5" t="str">
        <x:f>IF(H159="","Sin datos",IF(H159&lt;='Parametros'!$B$3,"Cumple","No cumple"))</x:f>
        <x:v>Sin datos</x:v>
      </x:c>
    </x:row>
    <x:row r="160">
      <x:c r="A160" s="5"/>
      <x:c r="B160" s="7"/>
      <x:c r="C160" s="5" t="str">
        <x:f>IF(B160="","",IFERROR(XLOOKUP(B160,'Locales'!$A$2:$A$200,'Locales'!$B$2:$B$200),"Codigo no encontrado"))</x:f>
      </x:c>
      <x:c r="D160" s="8"/>
      <x:c r="E160" s="8"/>
      <x:c r="F160" s="8"/>
      <x:c r="G160" s="8"/>
      <x:c r="H160" s="8" t="str">
        <x:f>IF(COUNTA(D160:G160)=0,"",D160-E160-F160-G160)</x:f>
      </x:c>
      <x:c r="I160" s="5" t="str">
        <x:f>IF(H160="","Sin datos",IF(H160&lt;='Parametros'!$B$3,"Cumple","No cumple"))</x:f>
        <x:v>Sin datos</x:v>
      </x:c>
    </x:row>
    <x:row r="161">
      <x:c r="A161" s="5"/>
      <x:c r="B161" s="7"/>
      <x:c r="C161" s="5" t="str">
        <x:f>IF(B161="","",IFERROR(XLOOKUP(B161,'Locales'!$A$2:$A$200,'Locales'!$B$2:$B$200),"Codigo no encontrado"))</x:f>
      </x:c>
      <x:c r="D161" s="8"/>
      <x:c r="E161" s="8"/>
      <x:c r="F161" s="8"/>
      <x:c r="G161" s="8"/>
      <x:c r="H161" s="8" t="str">
        <x:f>IF(COUNTA(D161:G161)=0,"",D161-E161-F161-G161)</x:f>
      </x:c>
      <x:c r="I161" s="5" t="str">
        <x:f>IF(H161="","Sin datos",IF(H161&lt;='Parametros'!$B$3,"Cumple","No cumple"))</x:f>
        <x:v>Sin datos</x:v>
      </x:c>
    </x:row>
    <x:row r="162">
      <x:c r="A162" s="5"/>
      <x:c r="B162" s="7"/>
      <x:c r="C162" s="5" t="str">
        <x:f>IF(B162="","",IFERROR(XLOOKUP(B162,'Locales'!$A$2:$A$200,'Locales'!$B$2:$B$200),"Codigo no encontrado"))</x:f>
      </x:c>
      <x:c r="D162" s="8"/>
      <x:c r="E162" s="8"/>
      <x:c r="F162" s="8"/>
      <x:c r="G162" s="8"/>
      <x:c r="H162" s="8" t="str">
        <x:f>IF(COUNTA(D162:G162)=0,"",D162-E162-F162-G162)</x:f>
      </x:c>
      <x:c r="I162" s="5" t="str">
        <x:f>IF(H162="","Sin datos",IF(H162&lt;='Parametros'!$B$3,"Cumple","No cumple"))</x:f>
        <x:v>Sin datos</x:v>
      </x:c>
    </x:row>
    <x:row r="163">
      <x:c r="A163" s="5"/>
      <x:c r="B163" s="7"/>
      <x:c r="C163" s="5" t="str">
        <x:f>IF(B163="","",IFERROR(XLOOKUP(B163,'Locales'!$A$2:$A$200,'Locales'!$B$2:$B$200),"Codigo no encontrado"))</x:f>
      </x:c>
      <x:c r="D163" s="8"/>
      <x:c r="E163" s="8"/>
      <x:c r="F163" s="8"/>
      <x:c r="G163" s="8"/>
      <x:c r="H163" s="8" t="str">
        <x:f>IF(COUNTA(D163:G163)=0,"",D163-E163-F163-G163)</x:f>
      </x:c>
      <x:c r="I163" s="5" t="str">
        <x:f>IF(H163="","Sin datos",IF(H163&lt;='Parametros'!$B$3,"Cumple","No cumple"))</x:f>
        <x:v>Sin datos</x:v>
      </x:c>
    </x:row>
    <x:row r="164">
      <x:c r="A164" s="5"/>
      <x:c r="B164" s="7"/>
      <x:c r="C164" s="5" t="str">
        <x:f>IF(B164="","",IFERROR(XLOOKUP(B164,'Locales'!$A$2:$A$200,'Locales'!$B$2:$B$200),"Codigo no encontrado"))</x:f>
      </x:c>
      <x:c r="D164" s="8"/>
      <x:c r="E164" s="8"/>
      <x:c r="F164" s="8"/>
      <x:c r="G164" s="8"/>
      <x:c r="H164" s="8" t="str">
        <x:f>IF(COUNTA(D164:G164)=0,"",D164-E164-F164-G164)</x:f>
      </x:c>
      <x:c r="I164" s="5" t="str">
        <x:f>IF(H164="","Sin datos",IF(H164&lt;='Parametros'!$B$3,"Cumple","No cumple"))</x:f>
        <x:v>Sin datos</x:v>
      </x:c>
    </x:row>
    <x:row r="165">
      <x:c r="A165" s="5"/>
      <x:c r="B165" s="7"/>
      <x:c r="C165" s="5" t="str">
        <x:f>IF(B165="","",IFERROR(XLOOKUP(B165,'Locales'!$A$2:$A$200,'Locales'!$B$2:$B$200),"Codigo no encontrado"))</x:f>
      </x:c>
      <x:c r="D165" s="8"/>
      <x:c r="E165" s="8"/>
      <x:c r="F165" s="8"/>
      <x:c r="G165" s="8"/>
      <x:c r="H165" s="8" t="str">
        <x:f>IF(COUNTA(D165:G165)=0,"",D165-E165-F165-G165)</x:f>
      </x:c>
      <x:c r="I165" s="5" t="str">
        <x:f>IF(H165="","Sin datos",IF(H165&lt;='Parametros'!$B$3,"Cumple","No cumple"))</x:f>
        <x:v>Sin datos</x:v>
      </x:c>
    </x:row>
    <x:row r="166">
      <x:c r="A166" s="5"/>
      <x:c r="B166" s="7"/>
      <x:c r="C166" s="5" t="str">
        <x:f>IF(B166="","",IFERROR(XLOOKUP(B166,'Locales'!$A$2:$A$200,'Locales'!$B$2:$B$200),"Codigo no encontrado"))</x:f>
      </x:c>
      <x:c r="D166" s="8"/>
      <x:c r="E166" s="8"/>
      <x:c r="F166" s="8"/>
      <x:c r="G166" s="8"/>
      <x:c r="H166" s="8" t="str">
        <x:f>IF(COUNTA(D166:G166)=0,"",D166-E166-F166-G166)</x:f>
      </x:c>
      <x:c r="I166" s="5" t="str">
        <x:f>IF(H166="","Sin datos",IF(H166&lt;='Parametros'!$B$3,"Cumple","No cumple"))</x:f>
        <x:v>Sin datos</x:v>
      </x:c>
    </x:row>
    <x:row r="167">
      <x:c r="A167" s="5"/>
      <x:c r="B167" s="7"/>
      <x:c r="C167" s="5" t="str">
        <x:f>IF(B167="","",IFERROR(XLOOKUP(B167,'Locales'!$A$2:$A$200,'Locales'!$B$2:$B$200),"Codigo no encontrado"))</x:f>
      </x:c>
      <x:c r="D167" s="8"/>
      <x:c r="E167" s="8"/>
      <x:c r="F167" s="8"/>
      <x:c r="G167" s="8"/>
      <x:c r="H167" s="8" t="str">
        <x:f>IF(COUNTA(D167:G167)=0,"",D167-E167-F167-G167)</x:f>
      </x:c>
      <x:c r="I167" s="5" t="str">
        <x:f>IF(H167="","Sin datos",IF(H167&lt;='Parametros'!$B$3,"Cumple","No cumple"))</x:f>
        <x:v>Sin datos</x:v>
      </x:c>
    </x:row>
    <x:row r="168">
      <x:c r="A168" s="5"/>
      <x:c r="B168" s="7"/>
      <x:c r="C168" s="5" t="str">
        <x:f>IF(B168="","",IFERROR(XLOOKUP(B168,'Locales'!$A$2:$A$200,'Locales'!$B$2:$B$200),"Codigo no encontrado"))</x:f>
      </x:c>
      <x:c r="D168" s="8"/>
      <x:c r="E168" s="8"/>
      <x:c r="F168" s="8"/>
      <x:c r="G168" s="8"/>
      <x:c r="H168" s="8" t="str">
        <x:f>IF(COUNTA(D168:G168)=0,"",D168-E168-F168-G168)</x:f>
      </x:c>
      <x:c r="I168" s="5" t="str">
        <x:f>IF(H168="","Sin datos",IF(H168&lt;='Parametros'!$B$3,"Cumple","No cumple"))</x:f>
        <x:v>Sin datos</x:v>
      </x:c>
    </x:row>
    <x:row r="169">
      <x:c r="A169" s="5"/>
      <x:c r="B169" s="7"/>
      <x:c r="C169" s="5" t="str">
        <x:f>IF(B169="","",IFERROR(XLOOKUP(B169,'Locales'!$A$2:$A$200,'Locales'!$B$2:$B$200),"Codigo no encontrado"))</x:f>
      </x:c>
      <x:c r="D169" s="8"/>
      <x:c r="E169" s="8"/>
      <x:c r="F169" s="8"/>
      <x:c r="G169" s="8"/>
      <x:c r="H169" s="8" t="str">
        <x:f>IF(COUNTA(D169:G169)=0,"",D169-E169-F169-G169)</x:f>
      </x:c>
      <x:c r="I169" s="5" t="str">
        <x:f>IF(H169="","Sin datos",IF(H169&lt;='Parametros'!$B$3,"Cumple","No cumple"))</x:f>
        <x:v>Sin datos</x:v>
      </x:c>
    </x:row>
    <x:row r="170">
      <x:c r="A170" s="5"/>
      <x:c r="B170" s="7"/>
      <x:c r="C170" s="5" t="str">
        <x:f>IF(B170="","",IFERROR(XLOOKUP(B170,'Locales'!$A$2:$A$200,'Locales'!$B$2:$B$200),"Codigo no encontrado"))</x:f>
      </x:c>
      <x:c r="D170" s="8"/>
      <x:c r="E170" s="8"/>
      <x:c r="F170" s="8"/>
      <x:c r="G170" s="8"/>
      <x:c r="H170" s="8" t="str">
        <x:f>IF(COUNTA(D170:G170)=0,"",D170-E170-F170-G170)</x:f>
      </x:c>
      <x:c r="I170" s="5" t="str">
        <x:f>IF(H170="","Sin datos",IF(H170&lt;='Parametros'!$B$3,"Cumple","No cumple"))</x:f>
        <x:v>Sin datos</x:v>
      </x:c>
    </x:row>
    <x:row r="171">
      <x:c r="A171" s="5"/>
      <x:c r="B171" s="7"/>
      <x:c r="C171" s="5" t="str">
        <x:f>IF(B171="","",IFERROR(XLOOKUP(B171,'Locales'!$A$2:$A$200,'Locales'!$B$2:$B$200),"Codigo no encontrado"))</x:f>
      </x:c>
      <x:c r="D171" s="8"/>
      <x:c r="E171" s="8"/>
      <x:c r="F171" s="8"/>
      <x:c r="G171" s="8"/>
      <x:c r="H171" s="8" t="str">
        <x:f>IF(COUNTA(D171:G171)=0,"",D171-E171-F171-G171)</x:f>
      </x:c>
      <x:c r="I171" s="5" t="str">
        <x:f>IF(H171="","Sin datos",IF(H171&lt;='Parametros'!$B$3,"Cumple","No cumple"))</x:f>
        <x:v>Sin datos</x:v>
      </x:c>
    </x:row>
    <x:row r="172">
      <x:c r="A172" s="5"/>
      <x:c r="B172" s="7"/>
      <x:c r="C172" s="5" t="str">
        <x:f>IF(B172="","",IFERROR(XLOOKUP(B172,'Locales'!$A$2:$A$200,'Locales'!$B$2:$B$200),"Codigo no encontrado"))</x:f>
      </x:c>
      <x:c r="D172" s="8"/>
      <x:c r="E172" s="8"/>
      <x:c r="F172" s="8"/>
      <x:c r="G172" s="8"/>
      <x:c r="H172" s="8" t="str">
        <x:f>IF(COUNTA(D172:G172)=0,"",D172-E172-F172-G172)</x:f>
      </x:c>
      <x:c r="I172" s="5" t="str">
        <x:f>IF(H172="","Sin datos",IF(H172&lt;='Parametros'!$B$3,"Cumple","No cumple"))</x:f>
        <x:v>Sin datos</x:v>
      </x:c>
    </x:row>
    <x:row r="173">
      <x:c r="A173" s="5"/>
      <x:c r="B173" s="7"/>
      <x:c r="C173" s="5" t="str">
        <x:f>IF(B173="","",IFERROR(XLOOKUP(B173,'Locales'!$A$2:$A$200,'Locales'!$B$2:$B$200),"Codigo no encontrado"))</x:f>
      </x:c>
      <x:c r="D173" s="8"/>
      <x:c r="E173" s="8"/>
      <x:c r="F173" s="8"/>
      <x:c r="G173" s="8"/>
      <x:c r="H173" s="8" t="str">
        <x:f>IF(COUNTA(D173:G173)=0,"",D173-E173-F173-G173)</x:f>
      </x:c>
      <x:c r="I173" s="5" t="str">
        <x:f>IF(H173="","Sin datos",IF(H173&lt;='Parametros'!$B$3,"Cumple","No cumple"))</x:f>
        <x:v>Sin datos</x:v>
      </x:c>
    </x:row>
    <x:row r="174">
      <x:c r="A174" s="5"/>
      <x:c r="B174" s="7"/>
      <x:c r="C174" s="5" t="str">
        <x:f>IF(B174="","",IFERROR(XLOOKUP(B174,'Locales'!$A$2:$A$200,'Locales'!$B$2:$B$200),"Codigo no encontrado"))</x:f>
      </x:c>
      <x:c r="D174" s="8"/>
      <x:c r="E174" s="8"/>
      <x:c r="F174" s="8"/>
      <x:c r="G174" s="8"/>
      <x:c r="H174" s="8" t="str">
        <x:f>IF(COUNTA(D174:G174)=0,"",D174-E174-F174-G174)</x:f>
      </x:c>
      <x:c r="I174" s="5" t="str">
        <x:f>IF(H174="","Sin datos",IF(H174&lt;='Parametros'!$B$3,"Cumple","No cumple"))</x:f>
        <x:v>Sin datos</x:v>
      </x:c>
    </x:row>
    <x:row r="175">
      <x:c r="A175" s="5"/>
      <x:c r="B175" s="7"/>
      <x:c r="C175" s="5" t="str">
        <x:f>IF(B175="","",IFERROR(XLOOKUP(B175,'Locales'!$A$2:$A$200,'Locales'!$B$2:$B$200),"Codigo no encontrado"))</x:f>
      </x:c>
      <x:c r="D175" s="8"/>
      <x:c r="E175" s="8"/>
      <x:c r="F175" s="8"/>
      <x:c r="G175" s="8"/>
      <x:c r="H175" s="8" t="str">
        <x:f>IF(COUNTA(D175:G175)=0,"",D175-E175-F175-G175)</x:f>
      </x:c>
      <x:c r="I175" s="5" t="str">
        <x:f>IF(H175="","Sin datos",IF(H175&lt;='Parametros'!$B$3,"Cumple","No cumple"))</x:f>
        <x:v>Sin datos</x:v>
      </x:c>
    </x:row>
    <x:row r="176">
      <x:c r="A176" s="5"/>
      <x:c r="B176" s="7"/>
      <x:c r="C176" s="5" t="str">
        <x:f>IF(B176="","",IFERROR(XLOOKUP(B176,'Locales'!$A$2:$A$200,'Locales'!$B$2:$B$200),"Codigo no encontrado"))</x:f>
      </x:c>
      <x:c r="D176" s="8"/>
      <x:c r="E176" s="8"/>
      <x:c r="F176" s="8"/>
      <x:c r="G176" s="8"/>
      <x:c r="H176" s="8" t="str">
        <x:f>IF(COUNTA(D176:G176)=0,"",D176-E176-F176-G176)</x:f>
      </x:c>
      <x:c r="I176" s="5" t="str">
        <x:f>IF(H176="","Sin datos",IF(H176&lt;='Parametros'!$B$3,"Cumple","No cumple"))</x:f>
        <x:v>Sin datos</x:v>
      </x:c>
    </x:row>
    <x:row r="177">
      <x:c r="A177" s="5"/>
      <x:c r="B177" s="7"/>
      <x:c r="C177" s="5" t="str">
        <x:f>IF(B177="","",IFERROR(XLOOKUP(B177,'Locales'!$A$2:$A$200,'Locales'!$B$2:$B$200),"Codigo no encontrado"))</x:f>
      </x:c>
      <x:c r="D177" s="8"/>
      <x:c r="E177" s="8"/>
      <x:c r="F177" s="8"/>
      <x:c r="G177" s="8"/>
      <x:c r="H177" s="8" t="str">
        <x:f>IF(COUNTA(D177:G177)=0,"",D177-E177-F177-G177)</x:f>
      </x:c>
      <x:c r="I177" s="5" t="str">
        <x:f>IF(H177="","Sin datos",IF(H177&lt;='Parametros'!$B$3,"Cumple","No cumple"))</x:f>
        <x:v>Sin datos</x:v>
      </x:c>
    </x:row>
    <x:row r="178">
      <x:c r="A178" s="5"/>
      <x:c r="B178" s="7"/>
      <x:c r="C178" s="5" t="str">
        <x:f>IF(B178="","",IFERROR(XLOOKUP(B178,'Locales'!$A$2:$A$200,'Locales'!$B$2:$B$200),"Codigo no encontrado"))</x:f>
      </x:c>
      <x:c r="D178" s="8"/>
      <x:c r="E178" s="8"/>
      <x:c r="F178" s="8"/>
      <x:c r="G178" s="8"/>
      <x:c r="H178" s="8" t="str">
        <x:f>IF(COUNTA(D178:G178)=0,"",D178-E178-F178-G178)</x:f>
      </x:c>
      <x:c r="I178" s="5" t="str">
        <x:f>IF(H178="","Sin datos",IF(H178&lt;='Parametros'!$B$3,"Cumple","No cumple"))</x:f>
        <x:v>Sin datos</x:v>
      </x:c>
    </x:row>
    <x:row r="179">
      <x:c r="A179" s="5"/>
      <x:c r="B179" s="7"/>
      <x:c r="C179" s="5" t="str">
        <x:f>IF(B179="","",IFERROR(XLOOKUP(B179,'Locales'!$A$2:$A$200,'Locales'!$B$2:$B$200),"Codigo no encontrado"))</x:f>
      </x:c>
      <x:c r="D179" s="8"/>
      <x:c r="E179" s="8"/>
      <x:c r="F179" s="8"/>
      <x:c r="G179" s="8"/>
      <x:c r="H179" s="8" t="str">
        <x:f>IF(COUNTA(D179:G179)=0,"",D179-E179-F179-G179)</x:f>
      </x:c>
      <x:c r="I179" s="5" t="str">
        <x:f>IF(H179="","Sin datos",IF(H179&lt;='Parametros'!$B$3,"Cumple","No cumple"))</x:f>
        <x:v>Sin datos</x:v>
      </x:c>
    </x:row>
    <x:row r="180">
      <x:c r="A180" s="5"/>
      <x:c r="B180" s="7"/>
      <x:c r="C180" s="5" t="str">
        <x:f>IF(B180="","",IFERROR(XLOOKUP(B180,'Locales'!$A$2:$A$200,'Locales'!$B$2:$B$200),"Codigo no encontrado"))</x:f>
      </x:c>
      <x:c r="D180" s="8"/>
      <x:c r="E180" s="8"/>
      <x:c r="F180" s="8"/>
      <x:c r="G180" s="8"/>
      <x:c r="H180" s="8" t="str">
        <x:f>IF(COUNTA(D180:G180)=0,"",D180-E180-F180-G180)</x:f>
      </x:c>
      <x:c r="I180" s="5" t="str">
        <x:f>IF(H180="","Sin datos",IF(H180&lt;='Parametros'!$B$3,"Cumple","No cumple"))</x:f>
        <x:v>Sin datos</x:v>
      </x:c>
    </x:row>
    <x:row r="181">
      <x:c r="A181" s="5"/>
      <x:c r="B181" s="7"/>
      <x:c r="C181" s="5" t="str">
        <x:f>IF(B181="","",IFERROR(XLOOKUP(B181,'Locales'!$A$2:$A$200,'Locales'!$B$2:$B$200),"Codigo no encontrado"))</x:f>
      </x:c>
      <x:c r="D181" s="8"/>
      <x:c r="E181" s="8"/>
      <x:c r="F181" s="8"/>
      <x:c r="G181" s="8"/>
      <x:c r="H181" s="8" t="str">
        <x:f>IF(COUNTA(D181:G181)=0,"",D181-E181-F181-G181)</x:f>
      </x:c>
      <x:c r="I181" s="5" t="str">
        <x:f>IF(H181="","Sin datos",IF(H181&lt;='Parametros'!$B$3,"Cumple","No cumple"))</x:f>
        <x:v>Sin datos</x:v>
      </x:c>
    </x:row>
    <x:row r="182">
      <x:c r="A182" s="5"/>
      <x:c r="B182" s="7"/>
      <x:c r="C182" s="5" t="str">
        <x:f>IF(B182="","",IFERROR(XLOOKUP(B182,'Locales'!$A$2:$A$200,'Locales'!$B$2:$B$200),"Codigo no encontrado"))</x:f>
      </x:c>
      <x:c r="D182" s="8"/>
      <x:c r="E182" s="8"/>
      <x:c r="F182" s="8"/>
      <x:c r="G182" s="8"/>
      <x:c r="H182" s="8" t="str">
        <x:f>IF(COUNTA(D182:G182)=0,"",D182-E182-F182-G182)</x:f>
      </x:c>
      <x:c r="I182" s="5" t="str">
        <x:f>IF(H182="","Sin datos",IF(H182&lt;='Parametros'!$B$3,"Cumple","No cumple"))</x:f>
        <x:v>Sin datos</x:v>
      </x:c>
    </x:row>
    <x:row r="183">
      <x:c r="A183" s="5"/>
      <x:c r="B183" s="7"/>
      <x:c r="C183" s="5" t="str">
        <x:f>IF(B183="","",IFERROR(XLOOKUP(B183,'Locales'!$A$2:$A$200,'Locales'!$B$2:$B$200),"Codigo no encontrado"))</x:f>
      </x:c>
      <x:c r="D183" s="8"/>
      <x:c r="E183" s="8"/>
      <x:c r="F183" s="8"/>
      <x:c r="G183" s="8"/>
      <x:c r="H183" s="8" t="str">
        <x:f>IF(COUNTA(D183:G183)=0,"",D183-E183-F183-G183)</x:f>
      </x:c>
      <x:c r="I183" s="5" t="str">
        <x:f>IF(H183="","Sin datos",IF(H183&lt;='Parametros'!$B$3,"Cumple","No cumple"))</x:f>
        <x:v>Sin datos</x:v>
      </x:c>
    </x:row>
    <x:row r="184">
      <x:c r="A184" s="5"/>
      <x:c r="B184" s="7"/>
      <x:c r="C184" s="5" t="str">
        <x:f>IF(B184="","",IFERROR(XLOOKUP(B184,'Locales'!$A$2:$A$200,'Locales'!$B$2:$B$200),"Codigo no encontrado"))</x:f>
      </x:c>
      <x:c r="D184" s="8"/>
      <x:c r="E184" s="8"/>
      <x:c r="F184" s="8"/>
      <x:c r="G184" s="8"/>
      <x:c r="H184" s="8" t="str">
        <x:f>IF(COUNTA(D184:G184)=0,"",D184-E184-F184-G184)</x:f>
      </x:c>
      <x:c r="I184" s="5" t="str">
        <x:f>IF(H184="","Sin datos",IF(H184&lt;='Parametros'!$B$3,"Cumple","No cumple"))</x:f>
        <x:v>Sin datos</x:v>
      </x:c>
    </x:row>
    <x:row r="185">
      <x:c r="A185" s="5"/>
      <x:c r="B185" s="7"/>
      <x:c r="C185" s="5" t="str">
        <x:f>IF(B185="","",IFERROR(XLOOKUP(B185,'Locales'!$A$2:$A$200,'Locales'!$B$2:$B$200),"Codigo no encontrado"))</x:f>
      </x:c>
      <x:c r="D185" s="8"/>
      <x:c r="E185" s="8"/>
      <x:c r="F185" s="8"/>
      <x:c r="G185" s="8"/>
      <x:c r="H185" s="8" t="str">
        <x:f>IF(COUNTA(D185:G185)=0,"",D185-E185-F185-G185)</x:f>
      </x:c>
      <x:c r="I185" s="5" t="str">
        <x:f>IF(H185="","Sin datos",IF(H185&lt;='Parametros'!$B$3,"Cumple","No cumple"))</x:f>
        <x:v>Sin datos</x:v>
      </x:c>
    </x:row>
    <x:row r="186">
      <x:c r="A186" s="5"/>
      <x:c r="B186" s="7"/>
      <x:c r="C186" s="5" t="str">
        <x:f>IF(B186="","",IFERROR(XLOOKUP(B186,'Locales'!$A$2:$A$200,'Locales'!$B$2:$B$200),"Codigo no encontrado"))</x:f>
      </x:c>
      <x:c r="D186" s="8"/>
      <x:c r="E186" s="8"/>
      <x:c r="F186" s="8"/>
      <x:c r="G186" s="8"/>
      <x:c r="H186" s="8" t="str">
        <x:f>IF(COUNTA(D186:G186)=0,"",D186-E186-F186-G186)</x:f>
      </x:c>
      <x:c r="I186" s="5" t="str">
        <x:f>IF(H186="","Sin datos",IF(H186&lt;='Parametros'!$B$3,"Cumple","No cumple"))</x:f>
        <x:v>Sin datos</x:v>
      </x:c>
    </x:row>
    <x:row r="187">
      <x:c r="A187" s="5"/>
      <x:c r="B187" s="7"/>
      <x:c r="C187" s="5" t="str">
        <x:f>IF(B187="","",IFERROR(XLOOKUP(B187,'Locales'!$A$2:$A$200,'Locales'!$B$2:$B$200),"Codigo no encontrado"))</x:f>
      </x:c>
      <x:c r="D187" s="8"/>
      <x:c r="E187" s="8"/>
      <x:c r="F187" s="8"/>
      <x:c r="G187" s="8"/>
      <x:c r="H187" s="8" t="str">
        <x:f>IF(COUNTA(D187:G187)=0,"",D187-E187-F187-G187)</x:f>
      </x:c>
      <x:c r="I187" s="5" t="str">
        <x:f>IF(H187="","Sin datos",IF(H187&lt;='Parametros'!$B$3,"Cumple","No cumple"))</x:f>
        <x:v>Sin datos</x:v>
      </x:c>
    </x:row>
    <x:row r="188">
      <x:c r="A188" s="5"/>
      <x:c r="B188" s="7"/>
      <x:c r="C188" s="5" t="str">
        <x:f>IF(B188="","",IFERROR(XLOOKUP(B188,'Locales'!$A$2:$A$200,'Locales'!$B$2:$B$200),"Codigo no encontrado"))</x:f>
      </x:c>
      <x:c r="D188" s="8"/>
      <x:c r="E188" s="8"/>
      <x:c r="F188" s="8"/>
      <x:c r="G188" s="8"/>
      <x:c r="H188" s="8" t="str">
        <x:f>IF(COUNTA(D188:G188)=0,"",D188-E188-F188-G188)</x:f>
      </x:c>
      <x:c r="I188" s="5" t="str">
        <x:f>IF(H188="","Sin datos",IF(H188&lt;='Parametros'!$B$3,"Cumple","No cumple"))</x:f>
        <x:v>Sin datos</x:v>
      </x:c>
    </x:row>
    <x:row r="189">
      <x:c r="A189" s="5"/>
      <x:c r="B189" s="7"/>
      <x:c r="C189" s="5" t="str">
        <x:f>IF(B189="","",IFERROR(XLOOKUP(B189,'Locales'!$A$2:$A$200,'Locales'!$B$2:$B$200),"Codigo no encontrado"))</x:f>
      </x:c>
      <x:c r="D189" s="8"/>
      <x:c r="E189" s="8"/>
      <x:c r="F189" s="8"/>
      <x:c r="G189" s="8"/>
      <x:c r="H189" s="8" t="str">
        <x:f>IF(COUNTA(D189:G189)=0,"",D189-E189-F189-G189)</x:f>
      </x:c>
      <x:c r="I189" s="5" t="str">
        <x:f>IF(H189="","Sin datos",IF(H189&lt;='Parametros'!$B$3,"Cumple","No cumple"))</x:f>
        <x:v>Sin datos</x:v>
      </x:c>
    </x:row>
    <x:row r="190">
      <x:c r="A190" s="5"/>
      <x:c r="B190" s="7"/>
      <x:c r="C190" s="5" t="str">
        <x:f>IF(B190="","",IFERROR(XLOOKUP(B190,'Locales'!$A$2:$A$200,'Locales'!$B$2:$B$200),"Codigo no encontrado"))</x:f>
      </x:c>
      <x:c r="D190" s="8"/>
      <x:c r="E190" s="8"/>
      <x:c r="F190" s="8"/>
      <x:c r="G190" s="8"/>
      <x:c r="H190" s="8" t="str">
        <x:f>IF(COUNTA(D190:G190)=0,"",D190-E190-F190-G190)</x:f>
      </x:c>
      <x:c r="I190" s="5" t="str">
        <x:f>IF(H190="","Sin datos",IF(H190&lt;='Parametros'!$B$3,"Cumple","No cumple"))</x:f>
        <x:v>Sin datos</x:v>
      </x:c>
    </x:row>
    <x:row r="191">
      <x:c r="A191" s="5"/>
      <x:c r="B191" s="7"/>
      <x:c r="C191" s="5" t="str">
        <x:f>IF(B191="","",IFERROR(XLOOKUP(B191,'Locales'!$A$2:$A$200,'Locales'!$B$2:$B$200),"Codigo no encontrado"))</x:f>
      </x:c>
      <x:c r="D191" s="8"/>
      <x:c r="E191" s="8"/>
      <x:c r="F191" s="8"/>
      <x:c r="G191" s="8"/>
      <x:c r="H191" s="8" t="str">
        <x:f>IF(COUNTA(D191:G191)=0,"",D191-E191-F191-G191)</x:f>
      </x:c>
      <x:c r="I191" s="5" t="str">
        <x:f>IF(H191="","Sin datos",IF(H191&lt;='Parametros'!$B$3,"Cumple","No cumple"))</x:f>
        <x:v>Sin datos</x:v>
      </x:c>
    </x:row>
    <x:row r="192">
      <x:c r="A192" s="5"/>
      <x:c r="B192" s="7"/>
      <x:c r="C192" s="5" t="str">
        <x:f>IF(B192="","",IFERROR(XLOOKUP(B192,'Locales'!$A$2:$A$200,'Locales'!$B$2:$B$200),"Codigo no encontrado"))</x:f>
      </x:c>
      <x:c r="D192" s="8"/>
      <x:c r="E192" s="8"/>
      <x:c r="F192" s="8"/>
      <x:c r="G192" s="8"/>
      <x:c r="H192" s="8" t="str">
        <x:f>IF(COUNTA(D192:G192)=0,"",D192-E192-F192-G192)</x:f>
      </x:c>
      <x:c r="I192" s="5" t="str">
        <x:f>IF(H192="","Sin datos",IF(H192&lt;='Parametros'!$B$3,"Cumple","No cumple"))</x:f>
        <x:v>Sin datos</x:v>
      </x:c>
    </x:row>
    <x:row r="193">
      <x:c r="A193" s="5"/>
      <x:c r="B193" s="7"/>
      <x:c r="C193" s="5" t="str">
        <x:f>IF(B193="","",IFERROR(XLOOKUP(B193,'Locales'!$A$2:$A$200,'Locales'!$B$2:$B$200),"Codigo no encontrado"))</x:f>
      </x:c>
      <x:c r="D193" s="8"/>
      <x:c r="E193" s="8"/>
      <x:c r="F193" s="8"/>
      <x:c r="G193" s="8"/>
      <x:c r="H193" s="8" t="str">
        <x:f>IF(COUNTA(D193:G193)=0,"",D193-E193-F193-G193)</x:f>
      </x:c>
      <x:c r="I193" s="5" t="str">
        <x:f>IF(H193="","Sin datos",IF(H193&lt;='Parametros'!$B$3,"Cumple","No cumple"))</x:f>
        <x:v>Sin datos</x:v>
      </x:c>
    </x:row>
    <x:row r="194">
      <x:c r="A194" s="5"/>
      <x:c r="B194" s="7"/>
      <x:c r="C194" s="5" t="str">
        <x:f>IF(B194="","",IFERROR(XLOOKUP(B194,'Locales'!$A$2:$A$200,'Locales'!$B$2:$B$200),"Codigo no encontrado"))</x:f>
      </x:c>
      <x:c r="D194" s="8"/>
      <x:c r="E194" s="8"/>
      <x:c r="F194" s="8"/>
      <x:c r="G194" s="8"/>
      <x:c r="H194" s="8" t="str">
        <x:f>IF(COUNTA(D194:G194)=0,"",D194-E194-F194-G194)</x:f>
      </x:c>
      <x:c r="I194" s="5" t="str">
        <x:f>IF(H194="","Sin datos",IF(H194&lt;='Parametros'!$B$3,"Cumple","No cumple"))</x:f>
        <x:v>Sin datos</x:v>
      </x:c>
    </x:row>
    <x:row r="195">
      <x:c r="A195" s="5"/>
      <x:c r="B195" s="7"/>
      <x:c r="C195" s="5" t="str">
        <x:f>IF(B195="","",IFERROR(XLOOKUP(B195,'Locales'!$A$2:$A$200,'Locales'!$B$2:$B$200),"Codigo no encontrado"))</x:f>
      </x:c>
      <x:c r="D195" s="8"/>
      <x:c r="E195" s="8"/>
      <x:c r="F195" s="8"/>
      <x:c r="G195" s="8"/>
      <x:c r="H195" s="8" t="str">
        <x:f>IF(COUNTA(D195:G195)=0,"",D195-E195-F195-G195)</x:f>
      </x:c>
      <x:c r="I195" s="5" t="str">
        <x:f>IF(H195="","Sin datos",IF(H195&lt;='Parametros'!$B$3,"Cumple","No cumple"))</x:f>
        <x:v>Sin datos</x:v>
      </x:c>
    </x:row>
    <x:row r="196">
      <x:c r="A196" s="5"/>
      <x:c r="B196" s="7"/>
      <x:c r="C196" s="5" t="str">
        <x:f>IF(B196="","",IFERROR(XLOOKUP(B196,'Locales'!$A$2:$A$200,'Locales'!$B$2:$B$200),"Codigo no encontrado"))</x:f>
      </x:c>
      <x:c r="D196" s="8"/>
      <x:c r="E196" s="8"/>
      <x:c r="F196" s="8"/>
      <x:c r="G196" s="8"/>
      <x:c r="H196" s="8" t="str">
        <x:f>IF(COUNTA(D196:G196)=0,"",D196-E196-F196-G196)</x:f>
      </x:c>
      <x:c r="I196" s="5" t="str">
        <x:f>IF(H196="","Sin datos",IF(H196&lt;='Parametros'!$B$3,"Cumple","No cumple"))</x:f>
        <x:v>Sin datos</x:v>
      </x:c>
    </x:row>
    <x:row r="197">
      <x:c r="A197" s="5"/>
      <x:c r="B197" s="7"/>
      <x:c r="C197" s="5" t="str">
        <x:f>IF(B197="","",IFERROR(XLOOKUP(B197,'Locales'!$A$2:$A$200,'Locales'!$B$2:$B$200),"Codigo no encontrado"))</x:f>
      </x:c>
      <x:c r="D197" s="8"/>
      <x:c r="E197" s="8"/>
      <x:c r="F197" s="8"/>
      <x:c r="G197" s="8"/>
      <x:c r="H197" s="8" t="str">
        <x:f>IF(COUNTA(D197:G197)=0,"",D197-E197-F197-G197)</x:f>
      </x:c>
      <x:c r="I197" s="5" t="str">
        <x:f>IF(H197="","Sin datos",IF(H197&lt;='Parametros'!$B$3,"Cumple","No cumple"))</x:f>
        <x:v>Sin datos</x:v>
      </x:c>
    </x:row>
    <x:row r="198">
      <x:c r="A198" s="5"/>
      <x:c r="B198" s="7"/>
      <x:c r="C198" s="5" t="str">
        <x:f>IF(B198="","",IFERROR(XLOOKUP(B198,'Locales'!$A$2:$A$200,'Locales'!$B$2:$B$200),"Codigo no encontrado"))</x:f>
      </x:c>
      <x:c r="D198" s="8"/>
      <x:c r="E198" s="8"/>
      <x:c r="F198" s="8"/>
      <x:c r="G198" s="8"/>
      <x:c r="H198" s="8" t="str">
        <x:f>IF(COUNTA(D198:G198)=0,"",D198-E198-F198-G198)</x:f>
      </x:c>
      <x:c r="I198" s="5" t="str">
        <x:f>IF(H198="","Sin datos",IF(H198&lt;='Parametros'!$B$3,"Cumple","No cumple"))</x:f>
        <x:v>Sin datos</x:v>
      </x:c>
    </x:row>
    <x:row r="199">
      <x:c r="A199" s="5"/>
      <x:c r="B199" s="7"/>
      <x:c r="C199" s="5" t="str">
        <x:f>IF(B199="","",IFERROR(XLOOKUP(B199,'Locales'!$A$2:$A$200,'Locales'!$B$2:$B$200),"Codigo no encontrado"))</x:f>
      </x:c>
      <x:c r="D199" s="8"/>
      <x:c r="E199" s="8"/>
      <x:c r="F199" s="8"/>
      <x:c r="G199" s="8"/>
      <x:c r="H199" s="8" t="str">
        <x:f>IF(COUNTA(D199:G199)=0,"",D199-E199-F199-G199)</x:f>
      </x:c>
      <x:c r="I199" s="5" t="str">
        <x:f>IF(H199="","Sin datos",IF(H199&lt;='Parametros'!$B$3,"Cumple","No cumple"))</x:f>
        <x:v>Sin datos</x:v>
      </x:c>
    </x:row>
    <x:row r="200">
      <x:c r="A200" s="5"/>
      <x:c r="B200" s="7"/>
      <x:c r="C200" s="5" t="str">
        <x:f>IF(B200="","",IFERROR(XLOOKUP(B200,'Locales'!$A$2:$A$200,'Locales'!$B$2:$B$200),"Codigo no encontrado"))</x:f>
      </x:c>
      <x:c r="D200" s="8"/>
      <x:c r="E200" s="8"/>
      <x:c r="F200" s="8"/>
      <x:c r="G200" s="8"/>
      <x:c r="H200" s="8" t="str">
        <x:f>IF(COUNTA(D200:G200)=0,"",D200-E200-F200-G200)</x:f>
      </x:c>
      <x:c r="I200" s="5" t="str">
        <x:f>IF(H200="","Sin datos",IF(H200&lt;='Parametros'!$B$3,"Cumple","No cumple"))</x:f>
        <x:v>Sin datos</x:v>
      </x:c>
    </x:row>
    <x:row r="201">
      <x:c r="A201" s="5"/>
      <x:c r="B201" s="7"/>
      <x:c r="C201" s="5" t="str">
        <x:f>IF(B201="","",IFERROR(XLOOKUP(B201,'Locales'!$A$2:$A$200,'Locales'!$B$2:$B$200),"Codigo no encontrado"))</x:f>
      </x:c>
      <x:c r="D201" s="8"/>
      <x:c r="E201" s="8"/>
      <x:c r="F201" s="8"/>
      <x:c r="G201" s="8"/>
      <x:c r="H201" s="8" t="str">
        <x:f>IF(COUNTA(D201:G201)=0,"",D201-E201-F201-G201)</x:f>
      </x:c>
      <x:c r="I201" s="5" t="str">
        <x:f>IF(H201="","Sin datos",IF(H201&lt;='Parametros'!$B$3,"Cumple","No cumple"))</x:f>
        <x:v>Sin datos</x:v>
      </x:c>
    </x:row>
    <x:row r="202">
      <x:c r="A202" s="5"/>
      <x:c r="B202" s="7"/>
      <x:c r="C202" s="5" t="str">
        <x:f>IF(B202="","",IFERROR(XLOOKUP(B202,'Locales'!$A$2:$A$200,'Locales'!$B$2:$B$200),"Codigo no encontrado"))</x:f>
      </x:c>
      <x:c r="D202" s="8"/>
      <x:c r="E202" s="8"/>
      <x:c r="F202" s="8"/>
      <x:c r="G202" s="8"/>
      <x:c r="H202" s="8" t="str">
        <x:f>IF(COUNTA(D202:G202)=0,"",D202-E202-F202-G202)</x:f>
      </x:c>
      <x:c r="I202" s="5" t="str">
        <x:f>IF(H202="","Sin datos",IF(H202&lt;='Parametros'!$B$3,"Cumple","No cumple"))</x:f>
        <x:v>Sin datos</x:v>
      </x:c>
    </x:row>
    <x:row r="203">
      <x:c r="A203" s="5"/>
      <x:c r="B203" s="7"/>
      <x:c r="C203" s="5" t="str">
        <x:f>IF(B203="","",IFERROR(XLOOKUP(B203,'Locales'!$A$2:$A$200,'Locales'!$B$2:$B$200),"Codigo no encontrado"))</x:f>
      </x:c>
      <x:c r="D203" s="8"/>
      <x:c r="E203" s="8"/>
      <x:c r="F203" s="8"/>
      <x:c r="G203" s="8"/>
      <x:c r="H203" s="8" t="str">
        <x:f>IF(COUNTA(D203:G203)=0,"",D203-E203-F203-G203)</x:f>
      </x:c>
      <x:c r="I203" s="5" t="str">
        <x:f>IF(H203="","Sin datos",IF(H203&lt;='Parametros'!$B$3,"Cumple","No cumple"))</x:f>
        <x:v>Sin datos</x:v>
      </x:c>
    </x:row>
    <x:row r="204">
      <x:c r="A204" s="5"/>
      <x:c r="B204" s="7"/>
      <x:c r="C204" s="5" t="str">
        <x:f>IF(B204="","",IFERROR(XLOOKUP(B204,'Locales'!$A$2:$A$200,'Locales'!$B$2:$B$200),"Codigo no encontrado"))</x:f>
      </x:c>
      <x:c r="D204" s="8"/>
      <x:c r="E204" s="8"/>
      <x:c r="F204" s="8"/>
      <x:c r="G204" s="8"/>
      <x:c r="H204" s="8" t="str">
        <x:f>IF(COUNTA(D204:G204)=0,"",D204-E204-F204-G204)</x:f>
      </x:c>
      <x:c r="I204" s="5" t="str">
        <x:f>IF(H204="","Sin datos",IF(H204&lt;='Parametros'!$B$3,"Cumple","No cumple"))</x:f>
        <x:v>Sin datos</x:v>
      </x:c>
    </x:row>
    <x:row r="205">
      <x:c r="A205" s="5"/>
      <x:c r="B205" s="7"/>
      <x:c r="C205" s="5" t="str">
        <x:f>IF(B205="","",IFERROR(XLOOKUP(B205,'Locales'!$A$2:$A$200,'Locales'!$B$2:$B$200),"Codigo no encontrado"))</x:f>
      </x:c>
      <x:c r="D205" s="8"/>
      <x:c r="E205" s="8"/>
      <x:c r="F205" s="8"/>
      <x:c r="G205" s="8"/>
      <x:c r="H205" s="8" t="str">
        <x:f>IF(COUNTA(D205:G205)=0,"",D205-E205-F205-G205)</x:f>
      </x:c>
      <x:c r="I205" s="5" t="str">
        <x:f>IF(H205="","Sin datos",IF(H205&lt;='Parametros'!$B$3,"Cumple","No cumple"))</x:f>
        <x:v>Sin datos</x:v>
      </x:c>
    </x:row>
    <x:row r="206">
      <x:c r="A206" s="5"/>
      <x:c r="B206" s="7"/>
      <x:c r="C206" s="5" t="str">
        <x:f>IF(B206="","",IFERROR(XLOOKUP(B206,'Locales'!$A$2:$A$200,'Locales'!$B$2:$B$200),"Codigo no encontrado"))</x:f>
      </x:c>
      <x:c r="D206" s="8"/>
      <x:c r="E206" s="8"/>
      <x:c r="F206" s="8"/>
      <x:c r="G206" s="8"/>
      <x:c r="H206" s="8" t="str">
        <x:f>IF(COUNTA(D206:G206)=0,"",D206-E206-F206-G206)</x:f>
      </x:c>
      <x:c r="I206" s="5" t="str">
        <x:f>IF(H206="","Sin datos",IF(H206&lt;='Parametros'!$B$3,"Cumple","No cumple"))</x:f>
        <x:v>Sin datos</x:v>
      </x:c>
    </x:row>
    <x:row r="207">
      <x:c r="A207" s="5"/>
      <x:c r="B207" s="7"/>
      <x:c r="C207" s="5" t="str">
        <x:f>IF(B207="","",IFERROR(XLOOKUP(B207,'Locales'!$A$2:$A$200,'Locales'!$B$2:$B$200),"Codigo no encontrado"))</x:f>
      </x:c>
      <x:c r="D207" s="8"/>
      <x:c r="E207" s="8"/>
      <x:c r="F207" s="8"/>
      <x:c r="G207" s="8"/>
      <x:c r="H207" s="8" t="str">
        <x:f>IF(COUNTA(D207:G207)=0,"",D207-E207-F207-G207)</x:f>
      </x:c>
      <x:c r="I207" s="5" t="str">
        <x:f>IF(H207="","Sin datos",IF(H207&lt;='Parametros'!$B$3,"Cumple","No cumple"))</x:f>
        <x:v>Sin datos</x:v>
      </x:c>
    </x:row>
    <x:row r="208">
      <x:c r="A208" s="5"/>
      <x:c r="B208" s="7"/>
      <x:c r="C208" s="5" t="str">
        <x:f>IF(B208="","",IFERROR(XLOOKUP(B208,'Locales'!$A$2:$A$200,'Locales'!$B$2:$B$200),"Codigo no encontrado"))</x:f>
      </x:c>
      <x:c r="D208" s="8"/>
      <x:c r="E208" s="8"/>
      <x:c r="F208" s="8"/>
      <x:c r="G208" s="8"/>
      <x:c r="H208" s="8" t="str">
        <x:f>IF(COUNTA(D208:G208)=0,"",D208-E208-F208-G208)</x:f>
      </x:c>
      <x:c r="I208" s="5" t="str">
        <x:f>IF(H208="","Sin datos",IF(H208&lt;='Parametros'!$B$3,"Cumple","No cumple"))</x:f>
        <x:v>Sin datos</x:v>
      </x:c>
    </x:row>
    <x:row r="209">
      <x:c r="A209" s="5"/>
      <x:c r="B209" s="7"/>
      <x:c r="C209" s="5" t="str">
        <x:f>IF(B209="","",IFERROR(XLOOKUP(B209,'Locales'!$A$2:$A$200,'Locales'!$B$2:$B$200),"Codigo no encontrado"))</x:f>
      </x:c>
      <x:c r="D209" s="8"/>
      <x:c r="E209" s="8"/>
      <x:c r="F209" s="8"/>
      <x:c r="G209" s="8"/>
      <x:c r="H209" s="8" t="str">
        <x:f>IF(COUNTA(D209:G209)=0,"",D209-E209-F209-G209)</x:f>
      </x:c>
      <x:c r="I209" s="5" t="str">
        <x:f>IF(H209="","Sin datos",IF(H209&lt;='Parametros'!$B$3,"Cumple","No cumple"))</x:f>
        <x:v>Sin datos</x:v>
      </x:c>
    </x:row>
    <x:row r="210">
      <x:c r="A210" s="5"/>
      <x:c r="B210" s="7"/>
      <x:c r="C210" s="5" t="str">
        <x:f>IF(B210="","",IFERROR(XLOOKUP(B210,'Locales'!$A$2:$A$200,'Locales'!$B$2:$B$200),"Codigo no encontrado"))</x:f>
      </x:c>
      <x:c r="D210" s="8"/>
      <x:c r="E210" s="8"/>
      <x:c r="F210" s="8"/>
      <x:c r="G210" s="8"/>
      <x:c r="H210" s="8" t="str">
        <x:f>IF(COUNTA(D210:G210)=0,"",D210-E210-F210-G210)</x:f>
      </x:c>
      <x:c r="I210" s="5" t="str">
        <x:f>IF(H210="","Sin datos",IF(H210&lt;='Parametros'!$B$3,"Cumple","No cumple"))</x:f>
        <x:v>Sin datos</x:v>
      </x:c>
    </x:row>
    <x:row r="211">
      <x:c r="A211" s="5"/>
      <x:c r="B211" s="7"/>
      <x:c r="C211" s="5" t="str">
        <x:f>IF(B211="","",IFERROR(XLOOKUP(B211,'Locales'!$A$2:$A$200,'Locales'!$B$2:$B$200),"Codigo no encontrado"))</x:f>
      </x:c>
      <x:c r="D211" s="8"/>
      <x:c r="E211" s="8"/>
      <x:c r="F211" s="8"/>
      <x:c r="G211" s="8"/>
      <x:c r="H211" s="8" t="str">
        <x:f>IF(COUNTA(D211:G211)=0,"",D211-E211-F211-G211)</x:f>
      </x:c>
      <x:c r="I211" s="5" t="str">
        <x:f>IF(H211="","Sin datos",IF(H211&lt;='Parametros'!$B$3,"Cumple","No cumple"))</x:f>
        <x:v>Sin datos</x:v>
      </x:c>
    </x:row>
    <x:row r="212">
      <x:c r="A212" s="5"/>
      <x:c r="B212" s="7"/>
      <x:c r="C212" s="5" t="str">
        <x:f>IF(B212="","",IFERROR(XLOOKUP(B212,'Locales'!$A$2:$A$200,'Locales'!$B$2:$B$200),"Codigo no encontrado"))</x:f>
      </x:c>
      <x:c r="D212" s="8"/>
      <x:c r="E212" s="8"/>
      <x:c r="F212" s="8"/>
      <x:c r="G212" s="8"/>
      <x:c r="H212" s="8" t="str">
        <x:f>IF(COUNTA(D212:G212)=0,"",D212-E212-F212-G212)</x:f>
      </x:c>
      <x:c r="I212" s="5" t="str">
        <x:f>IF(H212="","Sin datos",IF(H212&lt;='Parametros'!$B$3,"Cumple","No cumple"))</x:f>
        <x:v>Sin datos</x:v>
      </x:c>
    </x:row>
    <x:row r="213">
      <x:c r="A213" s="5"/>
      <x:c r="B213" s="7"/>
      <x:c r="C213" s="5" t="str">
        <x:f>IF(B213="","",IFERROR(XLOOKUP(B213,'Locales'!$A$2:$A$200,'Locales'!$B$2:$B$200),"Codigo no encontrado"))</x:f>
      </x:c>
      <x:c r="D213" s="8"/>
      <x:c r="E213" s="8"/>
      <x:c r="F213" s="8"/>
      <x:c r="G213" s="8"/>
      <x:c r="H213" s="8" t="str">
        <x:f>IF(COUNTA(D213:G213)=0,"",D213-E213-F213-G213)</x:f>
      </x:c>
      <x:c r="I213" s="5" t="str">
        <x:f>IF(H213="","Sin datos",IF(H213&lt;='Parametros'!$B$3,"Cumple","No cumple"))</x:f>
        <x:v>Sin datos</x:v>
      </x:c>
    </x:row>
    <x:row r="214">
      <x:c r="A214" s="5"/>
      <x:c r="B214" s="7"/>
      <x:c r="C214" s="5" t="str">
        <x:f>IF(B214="","",IFERROR(XLOOKUP(B214,'Locales'!$A$2:$A$200,'Locales'!$B$2:$B$200),"Codigo no encontrado"))</x:f>
      </x:c>
      <x:c r="D214" s="8"/>
      <x:c r="E214" s="8"/>
      <x:c r="F214" s="8"/>
      <x:c r="G214" s="8"/>
      <x:c r="H214" s="8" t="str">
        <x:f>IF(COUNTA(D214:G214)=0,"",D214-E214-F214-G214)</x:f>
      </x:c>
      <x:c r="I214" s="5" t="str">
        <x:f>IF(H214="","Sin datos",IF(H214&lt;='Parametros'!$B$3,"Cumple","No cumple"))</x:f>
        <x:v>Sin datos</x:v>
      </x:c>
    </x:row>
    <x:row r="215">
      <x:c r="A215" s="5"/>
      <x:c r="B215" s="7"/>
      <x:c r="C215" s="5" t="str">
        <x:f>IF(B215="","",IFERROR(XLOOKUP(B215,'Locales'!$A$2:$A$200,'Locales'!$B$2:$B$200),"Codigo no encontrado"))</x:f>
      </x:c>
      <x:c r="D215" s="8"/>
      <x:c r="E215" s="8"/>
      <x:c r="F215" s="8"/>
      <x:c r="G215" s="8"/>
      <x:c r="H215" s="8" t="str">
        <x:f>IF(COUNTA(D215:G215)=0,"",D215-E215-F215-G215)</x:f>
      </x:c>
      <x:c r="I215" s="5" t="str">
        <x:f>IF(H215="","Sin datos",IF(H215&lt;='Parametros'!$B$3,"Cumple","No cumple"))</x:f>
        <x:v>Sin datos</x:v>
      </x:c>
    </x:row>
    <x:row r="216">
      <x:c r="A216" s="5"/>
      <x:c r="B216" s="7"/>
      <x:c r="C216" s="5" t="str">
        <x:f>IF(B216="","",IFERROR(XLOOKUP(B216,'Locales'!$A$2:$A$200,'Locales'!$B$2:$B$200),"Codigo no encontrado"))</x:f>
      </x:c>
      <x:c r="D216" s="8"/>
      <x:c r="E216" s="8"/>
      <x:c r="F216" s="8"/>
      <x:c r="G216" s="8"/>
      <x:c r="H216" s="8" t="str">
        <x:f>IF(COUNTA(D216:G216)=0,"",D216-E216-F216-G216)</x:f>
      </x:c>
      <x:c r="I216" s="5" t="str">
        <x:f>IF(H216="","Sin datos",IF(H216&lt;='Parametros'!$B$3,"Cumple","No cumple"))</x:f>
        <x:v>Sin datos</x:v>
      </x:c>
    </x:row>
    <x:row r="217">
      <x:c r="A217" s="5"/>
      <x:c r="B217" s="7"/>
      <x:c r="C217" s="5" t="str">
        <x:f>IF(B217="","",IFERROR(XLOOKUP(B217,'Locales'!$A$2:$A$200,'Locales'!$B$2:$B$200),"Codigo no encontrado"))</x:f>
      </x:c>
      <x:c r="D217" s="8"/>
      <x:c r="E217" s="8"/>
      <x:c r="F217" s="8"/>
      <x:c r="G217" s="8"/>
      <x:c r="H217" s="8" t="str">
        <x:f>IF(COUNTA(D217:G217)=0,"",D217-E217-F217-G217)</x:f>
      </x:c>
      <x:c r="I217" s="5" t="str">
        <x:f>IF(H217="","Sin datos",IF(H217&lt;='Parametros'!$B$3,"Cumple","No cumple"))</x:f>
        <x:v>Sin datos</x:v>
      </x:c>
    </x:row>
    <x:row r="218">
      <x:c r="A218" s="5"/>
      <x:c r="B218" s="7"/>
      <x:c r="C218" s="5" t="str">
        <x:f>IF(B218="","",IFERROR(XLOOKUP(B218,'Locales'!$A$2:$A$200,'Locales'!$B$2:$B$200),"Codigo no encontrado"))</x:f>
      </x:c>
      <x:c r="D218" s="8"/>
      <x:c r="E218" s="8"/>
      <x:c r="F218" s="8"/>
      <x:c r="G218" s="8"/>
      <x:c r="H218" s="8" t="str">
        <x:f>IF(COUNTA(D218:G218)=0,"",D218-E218-F218-G218)</x:f>
      </x:c>
      <x:c r="I218" s="5" t="str">
        <x:f>IF(H218="","Sin datos",IF(H218&lt;='Parametros'!$B$3,"Cumple","No cumple"))</x:f>
        <x:v>Sin datos</x:v>
      </x:c>
    </x:row>
    <x:row r="219">
      <x:c r="A219" s="5"/>
      <x:c r="B219" s="7"/>
      <x:c r="C219" s="5" t="str">
        <x:f>IF(B219="","",IFERROR(XLOOKUP(B219,'Locales'!$A$2:$A$200,'Locales'!$B$2:$B$200),"Codigo no encontrado"))</x:f>
      </x:c>
      <x:c r="D219" s="8"/>
      <x:c r="E219" s="8"/>
      <x:c r="F219" s="8"/>
      <x:c r="G219" s="8"/>
      <x:c r="H219" s="8" t="str">
        <x:f>IF(COUNTA(D219:G219)=0,"",D219-E219-F219-G219)</x:f>
      </x:c>
      <x:c r="I219" s="5" t="str">
        <x:f>IF(H219="","Sin datos",IF(H219&lt;='Parametros'!$B$3,"Cumple","No cumple"))</x:f>
        <x:v>Sin datos</x:v>
      </x:c>
    </x:row>
    <x:row r="220">
      <x:c r="A220" s="5"/>
      <x:c r="B220" s="7"/>
      <x:c r="C220" s="5" t="str">
        <x:f>IF(B220="","",IFERROR(XLOOKUP(B220,'Locales'!$A$2:$A$200,'Locales'!$B$2:$B$200),"Codigo no encontrado"))</x:f>
      </x:c>
      <x:c r="D220" s="8"/>
      <x:c r="E220" s="8"/>
      <x:c r="F220" s="8"/>
      <x:c r="G220" s="8"/>
      <x:c r="H220" s="8" t="str">
        <x:f>IF(COUNTA(D220:G220)=0,"",D220-E220-F220-G220)</x:f>
      </x:c>
      <x:c r="I220" s="5" t="str">
        <x:f>IF(H220="","Sin datos",IF(H220&lt;='Parametros'!$B$3,"Cumple","No cumple"))</x:f>
        <x:v>Sin datos</x:v>
      </x:c>
    </x:row>
    <x:row r="221">
      <x:c r="A221" s="5"/>
      <x:c r="B221" s="7"/>
      <x:c r="C221" s="5" t="str">
        <x:f>IF(B221="","",IFERROR(XLOOKUP(B221,'Locales'!$A$2:$A$200,'Locales'!$B$2:$B$200),"Codigo no encontrado"))</x:f>
      </x:c>
      <x:c r="D221" s="8"/>
      <x:c r="E221" s="8"/>
      <x:c r="F221" s="8"/>
      <x:c r="G221" s="8"/>
      <x:c r="H221" s="8" t="str">
        <x:f>IF(COUNTA(D221:G221)=0,"",D221-E221-F221-G221)</x:f>
      </x:c>
      <x:c r="I221" s="5" t="str">
        <x:f>IF(H221="","Sin datos",IF(H221&lt;='Parametros'!$B$3,"Cumple","No cumple"))</x:f>
        <x:v>Sin datos</x:v>
      </x:c>
    </x:row>
    <x:row r="222">
      <x:c r="A222" s="5"/>
      <x:c r="B222" s="7"/>
      <x:c r="C222" s="5" t="str">
        <x:f>IF(B222="","",IFERROR(XLOOKUP(B222,'Locales'!$A$2:$A$200,'Locales'!$B$2:$B$200),"Codigo no encontrado"))</x:f>
      </x:c>
      <x:c r="D222" s="8"/>
      <x:c r="E222" s="8"/>
      <x:c r="F222" s="8"/>
      <x:c r="G222" s="8"/>
      <x:c r="H222" s="8" t="str">
        <x:f>IF(COUNTA(D222:G222)=0,"",D222-E222-F222-G222)</x:f>
      </x:c>
      <x:c r="I222" s="5" t="str">
        <x:f>IF(H222="","Sin datos",IF(H222&lt;='Parametros'!$B$3,"Cumple","No cumple"))</x:f>
        <x:v>Sin datos</x:v>
      </x:c>
    </x:row>
    <x:row r="223">
      <x:c r="A223" s="5"/>
      <x:c r="B223" s="7"/>
      <x:c r="C223" s="5" t="str">
        <x:f>IF(B223="","",IFERROR(XLOOKUP(B223,'Locales'!$A$2:$A$200,'Locales'!$B$2:$B$200),"Codigo no encontrado"))</x:f>
      </x:c>
      <x:c r="D223" s="8"/>
      <x:c r="E223" s="8"/>
      <x:c r="F223" s="8"/>
      <x:c r="G223" s="8"/>
      <x:c r="H223" s="8" t="str">
        <x:f>IF(COUNTA(D223:G223)=0,"",D223-E223-F223-G223)</x:f>
      </x:c>
      <x:c r="I223" s="5" t="str">
        <x:f>IF(H223="","Sin datos",IF(H223&lt;='Parametros'!$B$3,"Cumple","No cumple"))</x:f>
        <x:v>Sin datos</x:v>
      </x:c>
    </x:row>
    <x:row r="224">
      <x:c r="A224" s="5"/>
      <x:c r="B224" s="7"/>
      <x:c r="C224" s="5" t="str">
        <x:f>IF(B224="","",IFERROR(XLOOKUP(B224,'Locales'!$A$2:$A$200,'Locales'!$B$2:$B$200),"Codigo no encontrado"))</x:f>
      </x:c>
      <x:c r="D224" s="8"/>
      <x:c r="E224" s="8"/>
      <x:c r="F224" s="8"/>
      <x:c r="G224" s="8"/>
      <x:c r="H224" s="8" t="str">
        <x:f>IF(COUNTA(D224:G224)=0,"",D224-E224-F224-G224)</x:f>
      </x:c>
      <x:c r="I224" s="5" t="str">
        <x:f>IF(H224="","Sin datos",IF(H224&lt;='Parametros'!$B$3,"Cumple","No cumple"))</x:f>
        <x:v>Sin datos</x:v>
      </x:c>
    </x:row>
    <x:row r="225">
      <x:c r="A225" s="5"/>
      <x:c r="B225" s="7"/>
      <x:c r="C225" s="5" t="str">
        <x:f>IF(B225="","",IFERROR(XLOOKUP(B225,'Locales'!$A$2:$A$200,'Locales'!$B$2:$B$200),"Codigo no encontrado"))</x:f>
      </x:c>
      <x:c r="D225" s="8"/>
      <x:c r="E225" s="8"/>
      <x:c r="F225" s="8"/>
      <x:c r="G225" s="8"/>
      <x:c r="H225" s="8" t="str">
        <x:f>IF(COUNTA(D225:G225)=0,"",D225-E225-F225-G225)</x:f>
      </x:c>
      <x:c r="I225" s="5" t="str">
        <x:f>IF(H225="","Sin datos",IF(H225&lt;='Parametros'!$B$3,"Cumple","No cumple"))</x:f>
        <x:v>Sin datos</x:v>
      </x:c>
    </x:row>
    <x:row r="226">
      <x:c r="A226" s="5"/>
      <x:c r="B226" s="7"/>
      <x:c r="C226" s="5" t="str">
        <x:f>IF(B226="","",IFERROR(XLOOKUP(B226,'Locales'!$A$2:$A$200,'Locales'!$B$2:$B$200),"Codigo no encontrado"))</x:f>
      </x:c>
      <x:c r="D226" s="8"/>
      <x:c r="E226" s="8"/>
      <x:c r="F226" s="8"/>
      <x:c r="G226" s="8"/>
      <x:c r="H226" s="8" t="str">
        <x:f>IF(COUNTA(D226:G226)=0,"",D226-E226-F226-G226)</x:f>
      </x:c>
      <x:c r="I226" s="5" t="str">
        <x:f>IF(H226="","Sin datos",IF(H226&lt;='Parametros'!$B$3,"Cumple","No cumple"))</x:f>
        <x:v>Sin datos</x:v>
      </x:c>
    </x:row>
    <x:row r="227">
      <x:c r="A227" s="5"/>
      <x:c r="B227" s="7"/>
      <x:c r="C227" s="5" t="str">
        <x:f>IF(B227="","",IFERROR(XLOOKUP(B227,'Locales'!$A$2:$A$200,'Locales'!$B$2:$B$200),"Codigo no encontrado"))</x:f>
      </x:c>
      <x:c r="D227" s="8"/>
      <x:c r="E227" s="8"/>
      <x:c r="F227" s="8"/>
      <x:c r="G227" s="8"/>
      <x:c r="H227" s="8" t="str">
        <x:f>IF(COUNTA(D227:G227)=0,"",D227-E227-F227-G227)</x:f>
      </x:c>
      <x:c r="I227" s="5" t="str">
        <x:f>IF(H227="","Sin datos",IF(H227&lt;='Parametros'!$B$3,"Cumple","No cumple"))</x:f>
        <x:v>Sin datos</x:v>
      </x:c>
    </x:row>
    <x:row r="228">
      <x:c r="A228" s="5"/>
      <x:c r="B228" s="7"/>
      <x:c r="C228" s="5" t="str">
        <x:f>IF(B228="","",IFERROR(XLOOKUP(B228,'Locales'!$A$2:$A$200,'Locales'!$B$2:$B$200),"Codigo no encontrado"))</x:f>
      </x:c>
      <x:c r="D228" s="8"/>
      <x:c r="E228" s="8"/>
      <x:c r="F228" s="8"/>
      <x:c r="G228" s="8"/>
      <x:c r="H228" s="8" t="str">
        <x:f>IF(COUNTA(D228:G228)=0,"",D228-E228-F228-G228)</x:f>
      </x:c>
      <x:c r="I228" s="5" t="str">
        <x:f>IF(H228="","Sin datos",IF(H228&lt;='Parametros'!$B$3,"Cumple","No cumple"))</x:f>
        <x:v>Sin datos</x:v>
      </x:c>
    </x:row>
    <x:row r="229">
      <x:c r="A229" s="5"/>
      <x:c r="B229" s="7"/>
      <x:c r="C229" s="5" t="str">
        <x:f>IF(B229="","",IFERROR(XLOOKUP(B229,'Locales'!$A$2:$A$200,'Locales'!$B$2:$B$200),"Codigo no encontrado"))</x:f>
      </x:c>
      <x:c r="D229" s="8"/>
      <x:c r="E229" s="8"/>
      <x:c r="F229" s="8"/>
      <x:c r="G229" s="8"/>
      <x:c r="H229" s="8" t="str">
        <x:f>IF(COUNTA(D229:G229)=0,"",D229-E229-F229-G229)</x:f>
      </x:c>
      <x:c r="I229" s="5" t="str">
        <x:f>IF(H229="","Sin datos",IF(H229&lt;='Parametros'!$B$3,"Cumple","No cumple"))</x:f>
        <x:v>Sin datos</x:v>
      </x:c>
    </x:row>
    <x:row r="230">
      <x:c r="A230" s="5"/>
      <x:c r="B230" s="7"/>
      <x:c r="C230" s="5" t="str">
        <x:f>IF(B230="","",IFERROR(XLOOKUP(B230,'Locales'!$A$2:$A$200,'Locales'!$B$2:$B$200),"Codigo no encontrado"))</x:f>
      </x:c>
      <x:c r="D230" s="8"/>
      <x:c r="E230" s="8"/>
      <x:c r="F230" s="8"/>
      <x:c r="G230" s="8"/>
      <x:c r="H230" s="8" t="str">
        <x:f>IF(COUNTA(D230:G230)=0,"",D230-E230-F230-G230)</x:f>
      </x:c>
      <x:c r="I230" s="5" t="str">
        <x:f>IF(H230="","Sin datos",IF(H230&lt;='Parametros'!$B$3,"Cumple","No cumple"))</x:f>
        <x:v>Sin datos</x:v>
      </x:c>
    </x:row>
    <x:row r="231">
      <x:c r="A231" s="5"/>
      <x:c r="B231" s="7"/>
      <x:c r="C231" s="5" t="str">
        <x:f>IF(B231="","",IFERROR(XLOOKUP(B231,'Locales'!$A$2:$A$200,'Locales'!$B$2:$B$200),"Codigo no encontrado"))</x:f>
      </x:c>
      <x:c r="D231" s="8"/>
      <x:c r="E231" s="8"/>
      <x:c r="F231" s="8"/>
      <x:c r="G231" s="8"/>
      <x:c r="H231" s="8" t="str">
        <x:f>IF(COUNTA(D231:G231)=0,"",D231-E231-F231-G231)</x:f>
      </x:c>
      <x:c r="I231" s="5" t="str">
        <x:f>IF(H231="","Sin datos",IF(H231&lt;='Parametros'!$B$3,"Cumple","No cumple"))</x:f>
        <x:v>Sin datos</x:v>
      </x:c>
    </x:row>
    <x:row r="232">
      <x:c r="A232" s="5"/>
      <x:c r="B232" s="7"/>
      <x:c r="C232" s="5" t="str">
        <x:f>IF(B232="","",IFERROR(XLOOKUP(B232,'Locales'!$A$2:$A$200,'Locales'!$B$2:$B$200),"Codigo no encontrado"))</x:f>
      </x:c>
      <x:c r="D232" s="8"/>
      <x:c r="E232" s="8"/>
      <x:c r="F232" s="8"/>
      <x:c r="G232" s="8"/>
      <x:c r="H232" s="8" t="str">
        <x:f>IF(COUNTA(D232:G232)=0,"",D232-E232-F232-G232)</x:f>
      </x:c>
      <x:c r="I232" s="5" t="str">
        <x:f>IF(H232="","Sin datos",IF(H232&lt;='Parametros'!$B$3,"Cumple","No cumple"))</x:f>
        <x:v>Sin datos</x:v>
      </x:c>
    </x:row>
    <x:row r="233">
      <x:c r="A233" s="5"/>
      <x:c r="B233" s="7"/>
      <x:c r="C233" s="5" t="str">
        <x:f>IF(B233="","",IFERROR(XLOOKUP(B233,'Locales'!$A$2:$A$200,'Locales'!$B$2:$B$200),"Codigo no encontrado"))</x:f>
      </x:c>
      <x:c r="D233" s="8"/>
      <x:c r="E233" s="8"/>
      <x:c r="F233" s="8"/>
      <x:c r="G233" s="8"/>
      <x:c r="H233" s="8" t="str">
        <x:f>IF(COUNTA(D233:G233)=0,"",D233-E233-F233-G233)</x:f>
      </x:c>
      <x:c r="I233" s="5" t="str">
        <x:f>IF(H233="","Sin datos",IF(H233&lt;='Parametros'!$B$3,"Cumple","No cumple"))</x:f>
        <x:v>Sin datos</x:v>
      </x:c>
    </x:row>
    <x:row r="234">
      <x:c r="A234" s="5"/>
      <x:c r="B234" s="7"/>
      <x:c r="C234" s="5" t="str">
        <x:f>IF(B234="","",IFERROR(XLOOKUP(B234,'Locales'!$A$2:$A$200,'Locales'!$B$2:$B$200),"Codigo no encontrado"))</x:f>
      </x:c>
      <x:c r="D234" s="8"/>
      <x:c r="E234" s="8"/>
      <x:c r="F234" s="8"/>
      <x:c r="G234" s="8"/>
      <x:c r="H234" s="8" t="str">
        <x:f>IF(COUNTA(D234:G234)=0,"",D234-E234-F234-G234)</x:f>
      </x:c>
      <x:c r="I234" s="5" t="str">
        <x:f>IF(H234="","Sin datos",IF(H234&lt;='Parametros'!$B$3,"Cumple","No cumple"))</x:f>
        <x:v>Sin datos</x:v>
      </x:c>
    </x:row>
    <x:row r="235">
      <x:c r="A235" s="5"/>
      <x:c r="B235" s="7"/>
      <x:c r="C235" s="5" t="str">
        <x:f>IF(B235="","",IFERROR(XLOOKUP(B235,'Locales'!$A$2:$A$200,'Locales'!$B$2:$B$200),"Codigo no encontrado"))</x:f>
      </x:c>
      <x:c r="D235" s="8"/>
      <x:c r="E235" s="8"/>
      <x:c r="F235" s="8"/>
      <x:c r="G235" s="8"/>
      <x:c r="H235" s="8" t="str">
        <x:f>IF(COUNTA(D235:G235)=0,"",D235-E235-F235-G235)</x:f>
      </x:c>
      <x:c r="I235" s="5" t="str">
        <x:f>IF(H235="","Sin datos",IF(H235&lt;='Parametros'!$B$3,"Cumple","No cumple"))</x:f>
        <x:v>Sin datos</x:v>
      </x:c>
    </x:row>
    <x:row r="236">
      <x:c r="A236" s="5"/>
      <x:c r="B236" s="7"/>
      <x:c r="C236" s="5" t="str">
        <x:f>IF(B236="","",IFERROR(XLOOKUP(B236,'Locales'!$A$2:$A$200,'Locales'!$B$2:$B$200),"Codigo no encontrado"))</x:f>
      </x:c>
      <x:c r="D236" s="8"/>
      <x:c r="E236" s="8"/>
      <x:c r="F236" s="8"/>
      <x:c r="G236" s="8"/>
      <x:c r="H236" s="8" t="str">
        <x:f>IF(COUNTA(D236:G236)=0,"",D236-E236-F236-G236)</x:f>
      </x:c>
      <x:c r="I236" s="5" t="str">
        <x:f>IF(H236="","Sin datos",IF(H236&lt;='Parametros'!$B$3,"Cumple","No cumple"))</x:f>
        <x:v>Sin datos</x:v>
      </x:c>
    </x:row>
    <x:row r="237">
      <x:c r="A237" s="5"/>
      <x:c r="B237" s="7"/>
      <x:c r="C237" s="5" t="str">
        <x:f>IF(B237="","",IFERROR(XLOOKUP(B237,'Locales'!$A$2:$A$200,'Locales'!$B$2:$B$200),"Codigo no encontrado"))</x:f>
      </x:c>
      <x:c r="D237" s="8"/>
      <x:c r="E237" s="8"/>
      <x:c r="F237" s="8"/>
      <x:c r="G237" s="8"/>
      <x:c r="H237" s="8" t="str">
        <x:f>IF(COUNTA(D237:G237)=0,"",D237-E237-F237-G237)</x:f>
      </x:c>
      <x:c r="I237" s="5" t="str">
        <x:f>IF(H237="","Sin datos",IF(H237&lt;='Parametros'!$B$3,"Cumple","No cumple"))</x:f>
        <x:v>Sin datos</x:v>
      </x:c>
    </x:row>
    <x:row r="238">
      <x:c r="A238" s="5"/>
      <x:c r="B238" s="7"/>
      <x:c r="C238" s="5" t="str">
        <x:f>IF(B238="","",IFERROR(XLOOKUP(B238,'Locales'!$A$2:$A$200,'Locales'!$B$2:$B$200),"Codigo no encontrado"))</x:f>
      </x:c>
      <x:c r="D238" s="8"/>
      <x:c r="E238" s="8"/>
      <x:c r="F238" s="8"/>
      <x:c r="G238" s="8"/>
      <x:c r="H238" s="8" t="str">
        <x:f>IF(COUNTA(D238:G238)=0,"",D238-E238-F238-G238)</x:f>
      </x:c>
      <x:c r="I238" s="5" t="str">
        <x:f>IF(H238="","Sin datos",IF(H238&lt;='Parametros'!$B$3,"Cumple","No cumple"))</x:f>
        <x:v>Sin datos</x:v>
      </x:c>
    </x:row>
    <x:row r="239">
      <x:c r="A239" s="5"/>
      <x:c r="B239" s="7"/>
      <x:c r="C239" s="5" t="str">
        <x:f>IF(B239="","",IFERROR(XLOOKUP(B239,'Locales'!$A$2:$A$200,'Locales'!$B$2:$B$200),"Codigo no encontrado"))</x:f>
      </x:c>
      <x:c r="D239" s="8"/>
      <x:c r="E239" s="8"/>
      <x:c r="F239" s="8"/>
      <x:c r="G239" s="8"/>
      <x:c r="H239" s="8" t="str">
        <x:f>IF(COUNTA(D239:G239)=0,"",D239-E239-F239-G239)</x:f>
      </x:c>
      <x:c r="I239" s="5" t="str">
        <x:f>IF(H239="","Sin datos",IF(H239&lt;='Parametros'!$B$3,"Cumple","No cumple"))</x:f>
        <x:v>Sin datos</x:v>
      </x:c>
    </x:row>
    <x:row r="240">
      <x:c r="A240" s="5"/>
      <x:c r="B240" s="7"/>
      <x:c r="C240" s="5" t="str">
        <x:f>IF(B240="","",IFERROR(XLOOKUP(B240,'Locales'!$A$2:$A$200,'Locales'!$B$2:$B$200),"Codigo no encontrado"))</x:f>
      </x:c>
      <x:c r="D240" s="8"/>
      <x:c r="E240" s="8"/>
      <x:c r="F240" s="8"/>
      <x:c r="G240" s="8"/>
      <x:c r="H240" s="8" t="str">
        <x:f>IF(COUNTA(D240:G240)=0,"",D240-E240-F240-G240)</x:f>
      </x:c>
      <x:c r="I240" s="5" t="str">
        <x:f>IF(H240="","Sin datos",IF(H240&lt;='Parametros'!$B$3,"Cumple","No cumple"))</x:f>
        <x:v>Sin datos</x:v>
      </x:c>
    </x:row>
    <x:row r="241">
      <x:c r="A241" s="5"/>
      <x:c r="B241" s="7"/>
      <x:c r="C241" s="5" t="str">
        <x:f>IF(B241="","",IFERROR(XLOOKUP(B241,'Locales'!$A$2:$A$200,'Locales'!$B$2:$B$200),"Codigo no encontrado"))</x:f>
      </x:c>
      <x:c r="D241" s="8"/>
      <x:c r="E241" s="8"/>
      <x:c r="F241" s="8"/>
      <x:c r="G241" s="8"/>
      <x:c r="H241" s="8" t="str">
        <x:f>IF(COUNTA(D241:G241)=0,"",D241-E241-F241-G241)</x:f>
      </x:c>
      <x:c r="I241" s="5" t="str">
        <x:f>IF(H241="","Sin datos",IF(H241&lt;='Parametros'!$B$3,"Cumple","No cumple"))</x:f>
        <x:v>Sin datos</x:v>
      </x:c>
    </x:row>
    <x:row r="242">
      <x:c r="A242" s="5"/>
      <x:c r="B242" s="7"/>
      <x:c r="C242" s="5" t="str">
        <x:f>IF(B242="","",IFERROR(XLOOKUP(B242,'Locales'!$A$2:$A$200,'Locales'!$B$2:$B$200),"Codigo no encontrado"))</x:f>
      </x:c>
      <x:c r="D242" s="8"/>
      <x:c r="E242" s="8"/>
      <x:c r="F242" s="8"/>
      <x:c r="G242" s="8"/>
      <x:c r="H242" s="8" t="str">
        <x:f>IF(COUNTA(D242:G242)=0,"",D242-E242-F242-G242)</x:f>
      </x:c>
      <x:c r="I242" s="5" t="str">
        <x:f>IF(H242="","Sin datos",IF(H242&lt;='Parametros'!$B$3,"Cumple","No cumple"))</x:f>
        <x:v>Sin datos</x:v>
      </x:c>
    </x:row>
    <x:row r="243">
      <x:c r="A243" s="5"/>
      <x:c r="B243" s="7"/>
      <x:c r="C243" s="5" t="str">
        <x:f>IF(B243="","",IFERROR(XLOOKUP(B243,'Locales'!$A$2:$A$200,'Locales'!$B$2:$B$200),"Codigo no encontrado"))</x:f>
      </x:c>
      <x:c r="D243" s="8"/>
      <x:c r="E243" s="8"/>
      <x:c r="F243" s="8"/>
      <x:c r="G243" s="8"/>
      <x:c r="H243" s="8" t="str">
        <x:f>IF(COUNTA(D243:G243)=0,"",D243-E243-F243-G243)</x:f>
      </x:c>
      <x:c r="I243" s="5" t="str">
        <x:f>IF(H243="","Sin datos",IF(H243&lt;='Parametros'!$B$3,"Cumple","No cumple"))</x:f>
        <x:v>Sin datos</x:v>
      </x:c>
    </x:row>
    <x:row r="244">
      <x:c r="A244" s="5"/>
      <x:c r="B244" s="7"/>
      <x:c r="C244" s="5" t="str">
        <x:f>IF(B244="","",IFERROR(XLOOKUP(B244,'Locales'!$A$2:$A$200,'Locales'!$B$2:$B$200),"Codigo no encontrado"))</x:f>
      </x:c>
      <x:c r="D244" s="8"/>
      <x:c r="E244" s="8"/>
      <x:c r="F244" s="8"/>
      <x:c r="G244" s="8"/>
      <x:c r="H244" s="8" t="str">
        <x:f>IF(COUNTA(D244:G244)=0,"",D244-E244-F244-G244)</x:f>
      </x:c>
      <x:c r="I244" s="5" t="str">
        <x:f>IF(H244="","Sin datos",IF(H244&lt;='Parametros'!$B$3,"Cumple","No cumple"))</x:f>
        <x:v>Sin datos</x:v>
      </x:c>
    </x:row>
    <x:row r="245">
      <x:c r="A245" s="5"/>
      <x:c r="B245" s="7"/>
      <x:c r="C245" s="5" t="str">
        <x:f>IF(B245="","",IFERROR(XLOOKUP(B245,'Locales'!$A$2:$A$200,'Locales'!$B$2:$B$200),"Codigo no encontrado"))</x:f>
      </x:c>
      <x:c r="D245" s="8"/>
      <x:c r="E245" s="8"/>
      <x:c r="F245" s="8"/>
      <x:c r="G245" s="8"/>
      <x:c r="H245" s="8" t="str">
        <x:f>IF(COUNTA(D245:G245)=0,"",D245-E245-F245-G245)</x:f>
      </x:c>
      <x:c r="I245" s="5" t="str">
        <x:f>IF(H245="","Sin datos",IF(H245&lt;='Parametros'!$B$3,"Cumple","No cumple"))</x:f>
        <x:v>Sin datos</x:v>
      </x:c>
    </x:row>
    <x:row r="246">
      <x:c r="A246" s="5"/>
      <x:c r="B246" s="7"/>
      <x:c r="C246" s="5" t="str">
        <x:f>IF(B246="","",IFERROR(XLOOKUP(B246,'Locales'!$A$2:$A$200,'Locales'!$B$2:$B$200),"Codigo no encontrado"))</x:f>
      </x:c>
      <x:c r="D246" s="8"/>
      <x:c r="E246" s="8"/>
      <x:c r="F246" s="8"/>
      <x:c r="G246" s="8"/>
      <x:c r="H246" s="8" t="str">
        <x:f>IF(COUNTA(D246:G246)=0,"",D246-E246-F246-G246)</x:f>
      </x:c>
      <x:c r="I246" s="5" t="str">
        <x:f>IF(H246="","Sin datos",IF(H246&lt;='Parametros'!$B$3,"Cumple","No cumple"))</x:f>
        <x:v>Sin datos</x:v>
      </x:c>
    </x:row>
    <x:row r="247">
      <x:c r="A247" s="5"/>
      <x:c r="B247" s="7"/>
      <x:c r="C247" s="5" t="str">
        <x:f>IF(B247="","",IFERROR(XLOOKUP(B247,'Locales'!$A$2:$A$200,'Locales'!$B$2:$B$200),"Codigo no encontrado"))</x:f>
      </x:c>
      <x:c r="D247" s="8"/>
      <x:c r="E247" s="8"/>
      <x:c r="F247" s="8"/>
      <x:c r="G247" s="8"/>
      <x:c r="H247" s="8" t="str">
        <x:f>IF(COUNTA(D247:G247)=0,"",D247-E247-F247-G247)</x:f>
      </x:c>
      <x:c r="I247" s="5" t="str">
        <x:f>IF(H247="","Sin datos",IF(H247&lt;='Parametros'!$B$3,"Cumple","No cumple"))</x:f>
        <x:v>Sin datos</x:v>
      </x:c>
    </x:row>
    <x:row r="248">
      <x:c r="A248" s="5"/>
      <x:c r="B248" s="7"/>
      <x:c r="C248" s="5" t="str">
        <x:f>IF(B248="","",IFERROR(XLOOKUP(B248,'Locales'!$A$2:$A$200,'Locales'!$B$2:$B$200),"Codigo no encontrado"))</x:f>
      </x:c>
      <x:c r="D248" s="8"/>
      <x:c r="E248" s="8"/>
      <x:c r="F248" s="8"/>
      <x:c r="G248" s="8"/>
      <x:c r="H248" s="8" t="str">
        <x:f>IF(COUNTA(D248:G248)=0,"",D248-E248-F248-G248)</x:f>
      </x:c>
      <x:c r="I248" s="5" t="str">
        <x:f>IF(H248="","Sin datos",IF(H248&lt;='Parametros'!$B$3,"Cumple","No cumple"))</x:f>
        <x:v>Sin datos</x:v>
      </x:c>
    </x:row>
    <x:row r="249">
      <x:c r="A249" s="5"/>
      <x:c r="B249" s="7"/>
      <x:c r="C249" s="5" t="str">
        <x:f>IF(B249="","",IFERROR(XLOOKUP(B249,'Locales'!$A$2:$A$200,'Locales'!$B$2:$B$200),"Codigo no encontrado"))</x:f>
      </x:c>
      <x:c r="D249" s="8"/>
      <x:c r="E249" s="8"/>
      <x:c r="F249" s="8"/>
      <x:c r="G249" s="8"/>
      <x:c r="H249" s="8" t="str">
        <x:f>IF(COUNTA(D249:G249)=0,"",D249-E249-F249-G249)</x:f>
      </x:c>
      <x:c r="I249" s="5" t="str">
        <x:f>IF(H249="","Sin datos",IF(H249&lt;='Parametros'!$B$3,"Cumple","No cumple"))</x:f>
        <x:v>Sin datos</x:v>
      </x:c>
    </x:row>
    <x:row r="250">
      <x:c r="A250" s="5"/>
      <x:c r="B250" s="7"/>
      <x:c r="C250" s="5" t="str">
        <x:f>IF(B250="","",IFERROR(XLOOKUP(B250,'Locales'!$A$2:$A$200,'Locales'!$B$2:$B$200),"Codigo no encontrado"))</x:f>
      </x:c>
      <x:c r="D250" s="8"/>
      <x:c r="E250" s="8"/>
      <x:c r="F250" s="8"/>
      <x:c r="G250" s="8"/>
      <x:c r="H250" s="8" t="str">
        <x:f>IF(COUNTA(D250:G250)=0,"",D250-E250-F250-G250)</x:f>
      </x:c>
      <x:c r="I250" s="5" t="str">
        <x:f>IF(H250="","Sin datos",IF(H250&lt;='Parametros'!$B$3,"Cumple","No cumple"))</x:f>
        <x:v>Sin datos</x:v>
      </x:c>
    </x:row>
    <x:row r="251">
      <x:c r="A251" s="5"/>
      <x:c r="B251" s="7"/>
      <x:c r="C251" s="5" t="str">
        <x:f>IF(B251="","",IFERROR(XLOOKUP(B251,'Locales'!$A$2:$A$200,'Locales'!$B$2:$B$200),"Codigo no encontrado"))</x:f>
      </x:c>
      <x:c r="D251" s="8"/>
      <x:c r="E251" s="8"/>
      <x:c r="F251" s="8"/>
      <x:c r="G251" s="8"/>
      <x:c r="H251" s="8" t="str">
        <x:f>IF(COUNTA(D251:G251)=0,"",D251-E251-F251-G251)</x:f>
      </x:c>
      <x:c r="I251" s="5" t="str">
        <x:f>IF(H251="","Sin datos",IF(H251&lt;='Parametros'!$B$3,"Cumple","No cumple"))</x:f>
        <x:v>Sin datos</x:v>
      </x:c>
    </x:row>
    <x:row r="252">
      <x:c r="A252" s="5"/>
      <x:c r="B252" s="7"/>
      <x:c r="C252" s="5" t="str">
        <x:f>IF(B252="","",IFERROR(XLOOKUP(B252,'Locales'!$A$2:$A$200,'Locales'!$B$2:$B$200),"Codigo no encontrado"))</x:f>
      </x:c>
      <x:c r="D252" s="8"/>
      <x:c r="E252" s="8"/>
      <x:c r="F252" s="8"/>
      <x:c r="G252" s="8"/>
      <x:c r="H252" s="8" t="str">
        <x:f>IF(COUNTA(D252:G252)=0,"",D252-E252-F252-G252)</x:f>
      </x:c>
      <x:c r="I252" s="5" t="str">
        <x:f>IF(H252="","Sin datos",IF(H252&lt;='Parametros'!$B$3,"Cumple","No cumple"))</x:f>
        <x:v>Sin datos</x:v>
      </x:c>
    </x:row>
    <x:row r="253">
      <x:c r="A253" s="5"/>
      <x:c r="B253" s="7"/>
      <x:c r="C253" s="5" t="str">
        <x:f>IF(B253="","",IFERROR(XLOOKUP(B253,'Locales'!$A$2:$A$200,'Locales'!$B$2:$B$200),"Codigo no encontrado"))</x:f>
      </x:c>
      <x:c r="D253" s="8"/>
      <x:c r="E253" s="8"/>
      <x:c r="F253" s="8"/>
      <x:c r="G253" s="8"/>
      <x:c r="H253" s="8" t="str">
        <x:f>IF(COUNTA(D253:G253)=0,"",D253-E253-F253-G253)</x:f>
      </x:c>
      <x:c r="I253" s="5" t="str">
        <x:f>IF(H253="","Sin datos",IF(H253&lt;='Parametros'!$B$3,"Cumple","No cumple"))</x:f>
        <x:v>Sin datos</x:v>
      </x:c>
    </x:row>
    <x:row r="254">
      <x:c r="A254" s="5"/>
      <x:c r="B254" s="7"/>
      <x:c r="C254" s="5" t="str">
        <x:f>IF(B254="","",IFERROR(XLOOKUP(B254,'Locales'!$A$2:$A$200,'Locales'!$B$2:$B$200),"Codigo no encontrado"))</x:f>
      </x:c>
      <x:c r="D254" s="8"/>
      <x:c r="E254" s="8"/>
      <x:c r="F254" s="8"/>
      <x:c r="G254" s="8"/>
      <x:c r="H254" s="8" t="str">
        <x:f>IF(COUNTA(D254:G254)=0,"",D254-E254-F254-G254)</x:f>
      </x:c>
      <x:c r="I254" s="5" t="str">
        <x:f>IF(H254="","Sin datos",IF(H254&lt;='Parametros'!$B$3,"Cumple","No cumple"))</x:f>
        <x:v>Sin datos</x:v>
      </x:c>
    </x:row>
    <x:row r="255">
      <x:c r="A255" s="5"/>
      <x:c r="B255" s="7"/>
      <x:c r="C255" s="5" t="str">
        <x:f>IF(B255="","",IFERROR(XLOOKUP(B255,'Locales'!$A$2:$A$200,'Locales'!$B$2:$B$200),"Codigo no encontrado"))</x:f>
      </x:c>
      <x:c r="D255" s="8"/>
      <x:c r="E255" s="8"/>
      <x:c r="F255" s="8"/>
      <x:c r="G255" s="8"/>
      <x:c r="H255" s="8" t="str">
        <x:f>IF(COUNTA(D255:G255)=0,"",D255-E255-F255-G255)</x:f>
      </x:c>
      <x:c r="I255" s="5" t="str">
        <x:f>IF(H255="","Sin datos",IF(H255&lt;='Parametros'!$B$3,"Cumple","No cumple"))</x:f>
        <x:v>Sin datos</x:v>
      </x:c>
    </x:row>
    <x:row r="256">
      <x:c r="A256" s="5"/>
      <x:c r="B256" s="7"/>
      <x:c r="C256" s="5" t="str">
        <x:f>IF(B256="","",IFERROR(XLOOKUP(B256,'Locales'!$A$2:$A$200,'Locales'!$B$2:$B$200),"Codigo no encontrado"))</x:f>
      </x:c>
      <x:c r="D256" s="8"/>
      <x:c r="E256" s="8"/>
      <x:c r="F256" s="8"/>
      <x:c r="G256" s="8"/>
      <x:c r="H256" s="8" t="str">
        <x:f>IF(COUNTA(D256:G256)=0,"",D256-E256-F256-G256)</x:f>
      </x:c>
      <x:c r="I256" s="5" t="str">
        <x:f>IF(H256="","Sin datos",IF(H256&lt;='Parametros'!$B$3,"Cumple","No cumple"))</x:f>
        <x:v>Sin datos</x:v>
      </x:c>
    </x:row>
    <x:row r="257">
      <x:c r="A257" s="5"/>
      <x:c r="B257" s="7"/>
      <x:c r="C257" s="5" t="str">
        <x:f>IF(B257="","",IFERROR(XLOOKUP(B257,'Locales'!$A$2:$A$200,'Locales'!$B$2:$B$200),"Codigo no encontrado"))</x:f>
      </x:c>
      <x:c r="D257" s="8"/>
      <x:c r="E257" s="8"/>
      <x:c r="F257" s="8"/>
      <x:c r="G257" s="8"/>
      <x:c r="H257" s="8" t="str">
        <x:f>IF(COUNTA(D257:G257)=0,"",D257-E257-F257-G257)</x:f>
      </x:c>
      <x:c r="I257" s="5" t="str">
        <x:f>IF(H257="","Sin datos",IF(H257&lt;='Parametros'!$B$3,"Cumple","No cumple"))</x:f>
        <x:v>Sin datos</x:v>
      </x:c>
    </x:row>
    <x:row r="258">
      <x:c r="A258" s="5"/>
      <x:c r="B258" s="7"/>
      <x:c r="C258" s="5" t="str">
        <x:f>IF(B258="","",IFERROR(XLOOKUP(B258,'Locales'!$A$2:$A$200,'Locales'!$B$2:$B$200),"Codigo no encontrado"))</x:f>
      </x:c>
      <x:c r="D258" s="8"/>
      <x:c r="E258" s="8"/>
      <x:c r="F258" s="8"/>
      <x:c r="G258" s="8"/>
      <x:c r="H258" s="8" t="str">
        <x:f>IF(COUNTA(D258:G258)=0,"",D258-E258-F258-G258)</x:f>
      </x:c>
      <x:c r="I258" s="5" t="str">
        <x:f>IF(H258="","Sin datos",IF(H258&lt;='Parametros'!$B$3,"Cumple","No cumple"))</x:f>
        <x:v>Sin datos</x:v>
      </x:c>
    </x:row>
    <x:row r="259">
      <x:c r="A259" s="5"/>
      <x:c r="B259" s="7"/>
      <x:c r="C259" s="5" t="str">
        <x:f>IF(B259="","",IFERROR(XLOOKUP(B259,'Locales'!$A$2:$A$200,'Locales'!$B$2:$B$200),"Codigo no encontrado"))</x:f>
      </x:c>
      <x:c r="D259" s="8"/>
      <x:c r="E259" s="8"/>
      <x:c r="F259" s="8"/>
      <x:c r="G259" s="8"/>
      <x:c r="H259" s="8" t="str">
        <x:f>IF(COUNTA(D259:G259)=0,"",D259-E259-F259-G259)</x:f>
      </x:c>
      <x:c r="I259" s="5" t="str">
        <x:f>IF(H259="","Sin datos",IF(H259&lt;='Parametros'!$B$3,"Cumple","No cumple"))</x:f>
        <x:v>Sin datos</x:v>
      </x:c>
    </x:row>
    <x:row r="260">
      <x:c r="A260" s="5"/>
      <x:c r="B260" s="7"/>
      <x:c r="C260" s="5" t="str">
        <x:f>IF(B260="","",IFERROR(XLOOKUP(B260,'Locales'!$A$2:$A$200,'Locales'!$B$2:$B$200),"Codigo no encontrado"))</x:f>
      </x:c>
      <x:c r="D260" s="8"/>
      <x:c r="E260" s="8"/>
      <x:c r="F260" s="8"/>
      <x:c r="G260" s="8"/>
      <x:c r="H260" s="8" t="str">
        <x:f>IF(COUNTA(D260:G260)=0,"",D260-E260-F260-G260)</x:f>
      </x:c>
      <x:c r="I260" s="5" t="str">
        <x:f>IF(H260="","Sin datos",IF(H260&lt;='Parametros'!$B$3,"Cumple","No cumple"))</x:f>
        <x:v>Sin datos</x:v>
      </x:c>
    </x:row>
    <x:row r="261">
      <x:c r="A261" s="5"/>
      <x:c r="B261" s="7"/>
      <x:c r="C261" s="5" t="str">
        <x:f>IF(B261="","",IFERROR(XLOOKUP(B261,'Locales'!$A$2:$A$200,'Locales'!$B$2:$B$200),"Codigo no encontrado"))</x:f>
      </x:c>
      <x:c r="D261" s="8"/>
      <x:c r="E261" s="8"/>
      <x:c r="F261" s="8"/>
      <x:c r="G261" s="8"/>
      <x:c r="H261" s="8" t="str">
        <x:f>IF(COUNTA(D261:G261)=0,"",D261-E261-F261-G261)</x:f>
      </x:c>
      <x:c r="I261" s="5" t="str">
        <x:f>IF(H261="","Sin datos",IF(H261&lt;='Parametros'!$B$3,"Cumple","No cumple"))</x:f>
        <x:v>Sin datos</x:v>
      </x:c>
    </x:row>
    <x:row r="262">
      <x:c r="A262" s="5"/>
      <x:c r="B262" s="7"/>
      <x:c r="C262" s="5" t="str">
        <x:f>IF(B262="","",IFERROR(XLOOKUP(B262,'Locales'!$A$2:$A$200,'Locales'!$B$2:$B$200),"Codigo no encontrado"))</x:f>
      </x:c>
      <x:c r="D262" s="8"/>
      <x:c r="E262" s="8"/>
      <x:c r="F262" s="8"/>
      <x:c r="G262" s="8"/>
      <x:c r="H262" s="8" t="str">
        <x:f>IF(COUNTA(D262:G262)=0,"",D262-E262-F262-G262)</x:f>
      </x:c>
      <x:c r="I262" s="5" t="str">
        <x:f>IF(H262="","Sin datos",IF(H262&lt;='Parametros'!$B$3,"Cumple","No cumple"))</x:f>
        <x:v>Sin datos</x:v>
      </x:c>
    </x:row>
    <x:row r="263">
      <x:c r="A263" s="5"/>
      <x:c r="B263" s="7"/>
      <x:c r="C263" s="5" t="str">
        <x:f>IF(B263="","",IFERROR(XLOOKUP(B263,'Locales'!$A$2:$A$200,'Locales'!$B$2:$B$200),"Codigo no encontrado"))</x:f>
      </x:c>
      <x:c r="D263" s="8"/>
      <x:c r="E263" s="8"/>
      <x:c r="F263" s="8"/>
      <x:c r="G263" s="8"/>
      <x:c r="H263" s="8" t="str">
        <x:f>IF(COUNTA(D263:G263)=0,"",D263-E263-F263-G263)</x:f>
      </x:c>
      <x:c r="I263" s="5" t="str">
        <x:f>IF(H263="","Sin datos",IF(H263&lt;='Parametros'!$B$3,"Cumple","No cumple"))</x:f>
        <x:v>Sin datos</x:v>
      </x:c>
    </x:row>
    <x:row r="264">
      <x:c r="A264" s="5"/>
      <x:c r="B264" s="7"/>
      <x:c r="C264" s="5" t="str">
        <x:f>IF(B264="","",IFERROR(XLOOKUP(B264,'Locales'!$A$2:$A$200,'Locales'!$B$2:$B$200),"Codigo no encontrado"))</x:f>
      </x:c>
      <x:c r="D264" s="8"/>
      <x:c r="E264" s="8"/>
      <x:c r="F264" s="8"/>
      <x:c r="G264" s="8"/>
      <x:c r="H264" s="8" t="str">
        <x:f>IF(COUNTA(D264:G264)=0,"",D264-E264-F264-G264)</x:f>
      </x:c>
      <x:c r="I264" s="5" t="str">
        <x:f>IF(H264="","Sin datos",IF(H264&lt;='Parametros'!$B$3,"Cumple","No cumple"))</x:f>
        <x:v>Sin datos</x:v>
      </x:c>
    </x:row>
    <x:row r="265">
      <x:c r="A265" s="5"/>
      <x:c r="B265" s="7"/>
      <x:c r="C265" s="5" t="str">
        <x:f>IF(B265="","",IFERROR(XLOOKUP(B265,'Locales'!$A$2:$A$200,'Locales'!$B$2:$B$200),"Codigo no encontrado"))</x:f>
      </x:c>
      <x:c r="D265" s="8"/>
      <x:c r="E265" s="8"/>
      <x:c r="F265" s="8"/>
      <x:c r="G265" s="8"/>
      <x:c r="H265" s="8" t="str">
        <x:f>IF(COUNTA(D265:G265)=0,"",D265-E265-F265-G265)</x:f>
      </x:c>
      <x:c r="I265" s="5" t="str">
        <x:f>IF(H265="","Sin datos",IF(H265&lt;='Parametros'!$B$3,"Cumple","No cumple"))</x:f>
        <x:v>Sin datos</x:v>
      </x:c>
    </x:row>
    <x:row r="266">
      <x:c r="A266" s="5"/>
      <x:c r="B266" s="7"/>
      <x:c r="C266" s="5" t="str">
        <x:f>IF(B266="","",IFERROR(XLOOKUP(B266,'Locales'!$A$2:$A$200,'Locales'!$B$2:$B$200),"Codigo no encontrado"))</x:f>
      </x:c>
      <x:c r="D266" s="8"/>
      <x:c r="E266" s="8"/>
      <x:c r="F266" s="8"/>
      <x:c r="G266" s="8"/>
      <x:c r="H266" s="8" t="str">
        <x:f>IF(COUNTA(D266:G266)=0,"",D266-E266-F266-G266)</x:f>
      </x:c>
      <x:c r="I266" s="5" t="str">
        <x:f>IF(H266="","Sin datos",IF(H266&lt;='Parametros'!$B$3,"Cumple","No cumple"))</x:f>
        <x:v>Sin datos</x:v>
      </x:c>
    </x:row>
    <x:row r="267">
      <x:c r="A267" s="5"/>
      <x:c r="B267" s="7"/>
      <x:c r="C267" s="5" t="str">
        <x:f>IF(B267="","",IFERROR(XLOOKUP(B267,'Locales'!$A$2:$A$200,'Locales'!$B$2:$B$200),"Codigo no encontrado"))</x:f>
      </x:c>
      <x:c r="D267" s="8"/>
      <x:c r="E267" s="8"/>
      <x:c r="F267" s="8"/>
      <x:c r="G267" s="8"/>
      <x:c r="H267" s="8" t="str">
        <x:f>IF(COUNTA(D267:G267)=0,"",D267-E267-F267-G267)</x:f>
      </x:c>
      <x:c r="I267" s="5" t="str">
        <x:f>IF(H267="","Sin datos",IF(H267&lt;='Parametros'!$B$3,"Cumple","No cumple"))</x:f>
        <x:v>Sin datos</x:v>
      </x:c>
    </x:row>
    <x:row r="268">
      <x:c r="A268" s="5"/>
      <x:c r="B268" s="7"/>
      <x:c r="C268" s="5" t="str">
        <x:f>IF(B268="","",IFERROR(XLOOKUP(B268,'Locales'!$A$2:$A$200,'Locales'!$B$2:$B$200),"Codigo no encontrado"))</x:f>
      </x:c>
      <x:c r="D268" s="8"/>
      <x:c r="E268" s="8"/>
      <x:c r="F268" s="8"/>
      <x:c r="G268" s="8"/>
      <x:c r="H268" s="8" t="str">
        <x:f>IF(COUNTA(D268:G268)=0,"",D268-E268-F268-G268)</x:f>
      </x:c>
      <x:c r="I268" s="5" t="str">
        <x:f>IF(H268="","Sin datos",IF(H268&lt;='Parametros'!$B$3,"Cumple","No cumple"))</x:f>
        <x:v>Sin datos</x:v>
      </x:c>
    </x:row>
    <x:row r="269">
      <x:c r="A269" s="5"/>
      <x:c r="B269" s="7"/>
      <x:c r="C269" s="5" t="str">
        <x:f>IF(B269="","",IFERROR(XLOOKUP(B269,'Locales'!$A$2:$A$200,'Locales'!$B$2:$B$200),"Codigo no encontrado"))</x:f>
      </x:c>
      <x:c r="D269" s="8"/>
      <x:c r="E269" s="8"/>
      <x:c r="F269" s="8"/>
      <x:c r="G269" s="8"/>
      <x:c r="H269" s="8" t="str">
        <x:f>IF(COUNTA(D269:G269)=0,"",D269-E269-F269-G269)</x:f>
      </x:c>
      <x:c r="I269" s="5" t="str">
        <x:f>IF(H269="","Sin datos",IF(H269&lt;='Parametros'!$B$3,"Cumple","No cumple"))</x:f>
        <x:v>Sin datos</x:v>
      </x:c>
    </x:row>
    <x:row r="270">
      <x:c r="A270" s="5"/>
      <x:c r="B270" s="7"/>
      <x:c r="C270" s="5" t="str">
        <x:f>IF(B270="","",IFERROR(XLOOKUP(B270,'Locales'!$A$2:$A$200,'Locales'!$B$2:$B$200),"Codigo no encontrado"))</x:f>
      </x:c>
      <x:c r="D270" s="8"/>
      <x:c r="E270" s="8"/>
      <x:c r="F270" s="8"/>
      <x:c r="G270" s="8"/>
      <x:c r="H270" s="8" t="str">
        <x:f>IF(COUNTA(D270:G270)=0,"",D270-E270-F270-G270)</x:f>
      </x:c>
      <x:c r="I270" s="5" t="str">
        <x:f>IF(H270="","Sin datos",IF(H270&lt;='Parametros'!$B$3,"Cumple","No cumple"))</x:f>
        <x:v>Sin datos</x:v>
      </x:c>
    </x:row>
    <x:row r="271">
      <x:c r="A271" s="5"/>
      <x:c r="B271" s="7"/>
      <x:c r="C271" s="5" t="str">
        <x:f>IF(B271="","",IFERROR(XLOOKUP(B271,'Locales'!$A$2:$A$200,'Locales'!$B$2:$B$200),"Codigo no encontrado"))</x:f>
      </x:c>
      <x:c r="D271" s="8"/>
      <x:c r="E271" s="8"/>
      <x:c r="F271" s="8"/>
      <x:c r="G271" s="8"/>
      <x:c r="H271" s="8" t="str">
        <x:f>IF(COUNTA(D271:G271)=0,"",D271-E271-F271-G271)</x:f>
      </x:c>
      <x:c r="I271" s="5" t="str">
        <x:f>IF(H271="","Sin datos",IF(H271&lt;='Parametros'!$B$3,"Cumple","No cumple"))</x:f>
        <x:v>Sin datos</x:v>
      </x:c>
    </x:row>
    <x:row r="272">
      <x:c r="A272" s="5"/>
      <x:c r="B272" s="7"/>
      <x:c r="C272" s="5" t="str">
        <x:f>IF(B272="","",IFERROR(XLOOKUP(B272,'Locales'!$A$2:$A$200,'Locales'!$B$2:$B$200),"Codigo no encontrado"))</x:f>
      </x:c>
      <x:c r="D272" s="8"/>
      <x:c r="E272" s="8"/>
      <x:c r="F272" s="8"/>
      <x:c r="G272" s="8"/>
      <x:c r="H272" s="8" t="str">
        <x:f>IF(COUNTA(D272:G272)=0,"",D272-E272-F272-G272)</x:f>
      </x:c>
      <x:c r="I272" s="5" t="str">
        <x:f>IF(H272="","Sin datos",IF(H272&lt;='Parametros'!$B$3,"Cumple","No cumple"))</x:f>
        <x:v>Sin datos</x:v>
      </x:c>
    </x:row>
    <x:row r="273">
      <x:c r="A273" s="5"/>
      <x:c r="B273" s="7"/>
      <x:c r="C273" s="5" t="str">
        <x:f>IF(B273="","",IFERROR(XLOOKUP(B273,'Locales'!$A$2:$A$200,'Locales'!$B$2:$B$200),"Codigo no encontrado"))</x:f>
      </x:c>
      <x:c r="D273" s="8"/>
      <x:c r="E273" s="8"/>
      <x:c r="F273" s="8"/>
      <x:c r="G273" s="8"/>
      <x:c r="H273" s="8" t="str">
        <x:f>IF(COUNTA(D273:G273)=0,"",D273-E273-F273-G273)</x:f>
      </x:c>
      <x:c r="I273" s="5" t="str">
        <x:f>IF(H273="","Sin datos",IF(H273&lt;='Parametros'!$B$3,"Cumple","No cumple"))</x:f>
        <x:v>Sin datos</x:v>
      </x:c>
    </x:row>
    <x:row r="274">
      <x:c r="A274" s="5"/>
      <x:c r="B274" s="7"/>
      <x:c r="C274" s="5" t="str">
        <x:f>IF(B274="","",IFERROR(XLOOKUP(B274,'Locales'!$A$2:$A$200,'Locales'!$B$2:$B$200),"Codigo no encontrado"))</x:f>
      </x:c>
      <x:c r="D274" s="8"/>
      <x:c r="E274" s="8"/>
      <x:c r="F274" s="8"/>
      <x:c r="G274" s="8"/>
      <x:c r="H274" s="8" t="str">
        <x:f>IF(COUNTA(D274:G274)=0,"",D274-E274-F274-G274)</x:f>
      </x:c>
      <x:c r="I274" s="5" t="str">
        <x:f>IF(H274="","Sin datos",IF(H274&lt;='Parametros'!$B$3,"Cumple","No cumple"))</x:f>
        <x:v>Sin datos</x:v>
      </x:c>
    </x:row>
    <x:row r="275">
      <x:c r="A275" s="5"/>
      <x:c r="B275" s="7"/>
      <x:c r="C275" s="5" t="str">
        <x:f>IF(B275="","",IFERROR(XLOOKUP(B275,'Locales'!$A$2:$A$200,'Locales'!$B$2:$B$200),"Codigo no encontrado"))</x:f>
      </x:c>
      <x:c r="D275" s="8"/>
      <x:c r="E275" s="8"/>
      <x:c r="F275" s="8"/>
      <x:c r="G275" s="8"/>
      <x:c r="H275" s="8" t="str">
        <x:f>IF(COUNTA(D275:G275)=0,"",D275-E275-F275-G275)</x:f>
      </x:c>
      <x:c r="I275" s="5" t="str">
        <x:f>IF(H275="","Sin datos",IF(H275&lt;='Parametros'!$B$3,"Cumple","No cumple"))</x:f>
        <x:v>Sin datos</x:v>
      </x:c>
    </x:row>
    <x:row r="276">
      <x:c r="A276" s="5"/>
      <x:c r="B276" s="7"/>
      <x:c r="C276" s="5" t="str">
        <x:f>IF(B276="","",IFERROR(XLOOKUP(B276,'Locales'!$A$2:$A$200,'Locales'!$B$2:$B$200),"Codigo no encontrado"))</x:f>
      </x:c>
      <x:c r="D276" s="8"/>
      <x:c r="E276" s="8"/>
      <x:c r="F276" s="8"/>
      <x:c r="G276" s="8"/>
      <x:c r="H276" s="8" t="str">
        <x:f>IF(COUNTA(D276:G276)=0,"",D276-E276-F276-G276)</x:f>
      </x:c>
      <x:c r="I276" s="5" t="str">
        <x:f>IF(H276="","Sin datos",IF(H276&lt;='Parametros'!$B$3,"Cumple","No cumple"))</x:f>
        <x:v>Sin datos</x:v>
      </x:c>
    </x:row>
    <x:row r="277">
      <x:c r="A277" s="5"/>
      <x:c r="B277" s="7"/>
      <x:c r="C277" s="5" t="str">
        <x:f>IF(B277="","",IFERROR(XLOOKUP(B277,'Locales'!$A$2:$A$200,'Locales'!$B$2:$B$200),"Codigo no encontrado"))</x:f>
      </x:c>
      <x:c r="D277" s="8"/>
      <x:c r="E277" s="8"/>
      <x:c r="F277" s="8"/>
      <x:c r="G277" s="8"/>
      <x:c r="H277" s="8" t="str">
        <x:f>IF(COUNTA(D277:G277)=0,"",D277-E277-F277-G277)</x:f>
      </x:c>
      <x:c r="I277" s="5" t="str">
        <x:f>IF(H277="","Sin datos",IF(H277&lt;='Parametros'!$B$3,"Cumple","No cumple"))</x:f>
        <x:v>Sin datos</x:v>
      </x:c>
    </x:row>
    <x:row r="278">
      <x:c r="A278" s="5"/>
      <x:c r="B278" s="7"/>
      <x:c r="C278" s="5" t="str">
        <x:f>IF(B278="","",IFERROR(XLOOKUP(B278,'Locales'!$A$2:$A$200,'Locales'!$B$2:$B$200),"Codigo no encontrado"))</x:f>
      </x:c>
      <x:c r="D278" s="8"/>
      <x:c r="E278" s="8"/>
      <x:c r="F278" s="8"/>
      <x:c r="G278" s="8"/>
      <x:c r="H278" s="8" t="str">
        <x:f>IF(COUNTA(D278:G278)=0,"",D278-E278-F278-G278)</x:f>
      </x:c>
      <x:c r="I278" s="5" t="str">
        <x:f>IF(H278="","Sin datos",IF(H278&lt;='Parametros'!$B$3,"Cumple","No cumple"))</x:f>
        <x:v>Sin datos</x:v>
      </x:c>
    </x:row>
    <x:row r="279">
      <x:c r="A279" s="5"/>
      <x:c r="B279" s="7"/>
      <x:c r="C279" s="5" t="str">
        <x:f>IF(B279="","",IFERROR(XLOOKUP(B279,'Locales'!$A$2:$A$200,'Locales'!$B$2:$B$200),"Codigo no encontrado"))</x:f>
      </x:c>
      <x:c r="D279" s="8"/>
      <x:c r="E279" s="8"/>
      <x:c r="F279" s="8"/>
      <x:c r="G279" s="8"/>
      <x:c r="H279" s="8" t="str">
        <x:f>IF(COUNTA(D279:G279)=0,"",D279-E279-F279-G279)</x:f>
      </x:c>
      <x:c r="I279" s="5" t="str">
        <x:f>IF(H279="","Sin datos",IF(H279&lt;='Parametros'!$B$3,"Cumple","No cumple"))</x:f>
        <x:v>Sin datos</x:v>
      </x:c>
    </x:row>
    <x:row r="280">
      <x:c r="A280" s="5"/>
      <x:c r="B280" s="7"/>
      <x:c r="C280" s="5" t="str">
        <x:f>IF(B280="","",IFERROR(XLOOKUP(B280,'Locales'!$A$2:$A$200,'Locales'!$B$2:$B$200),"Codigo no encontrado"))</x:f>
      </x:c>
      <x:c r="D280" s="8"/>
      <x:c r="E280" s="8"/>
      <x:c r="F280" s="8"/>
      <x:c r="G280" s="8"/>
      <x:c r="H280" s="8" t="str">
        <x:f>IF(COUNTA(D280:G280)=0,"",D280-E280-F280-G280)</x:f>
      </x:c>
      <x:c r="I280" s="5" t="str">
        <x:f>IF(H280="","Sin datos",IF(H280&lt;='Parametros'!$B$3,"Cumple","No cumple"))</x:f>
        <x:v>Sin datos</x:v>
      </x:c>
    </x:row>
    <x:row r="281">
      <x:c r="A281" s="5"/>
      <x:c r="B281" s="7"/>
      <x:c r="C281" s="5" t="str">
        <x:f>IF(B281="","",IFERROR(XLOOKUP(B281,'Locales'!$A$2:$A$200,'Locales'!$B$2:$B$200),"Codigo no encontrado"))</x:f>
      </x:c>
      <x:c r="D281" s="8"/>
      <x:c r="E281" s="8"/>
      <x:c r="F281" s="8"/>
      <x:c r="G281" s="8"/>
      <x:c r="H281" s="8" t="str">
        <x:f>IF(COUNTA(D281:G281)=0,"",D281-E281-F281-G281)</x:f>
      </x:c>
      <x:c r="I281" s="5" t="str">
        <x:f>IF(H281="","Sin datos",IF(H281&lt;='Parametros'!$B$3,"Cumple","No cumple"))</x:f>
        <x:v>Sin datos</x:v>
      </x:c>
    </x:row>
    <x:row r="282">
      <x:c r="A282" s="5"/>
      <x:c r="B282" s="7"/>
      <x:c r="C282" s="5" t="str">
        <x:f>IF(B282="","",IFERROR(XLOOKUP(B282,'Locales'!$A$2:$A$200,'Locales'!$B$2:$B$200),"Codigo no encontrado"))</x:f>
      </x:c>
      <x:c r="D282" s="8"/>
      <x:c r="E282" s="8"/>
      <x:c r="F282" s="8"/>
      <x:c r="G282" s="8"/>
      <x:c r="H282" s="8" t="str">
        <x:f>IF(COUNTA(D282:G282)=0,"",D282-E282-F282-G282)</x:f>
      </x:c>
      <x:c r="I282" s="5" t="str">
        <x:f>IF(H282="","Sin datos",IF(H282&lt;='Parametros'!$B$3,"Cumple","No cumple"))</x:f>
        <x:v>Sin datos</x:v>
      </x:c>
    </x:row>
    <x:row r="283">
      <x:c r="A283" s="5"/>
      <x:c r="B283" s="7"/>
      <x:c r="C283" s="5" t="str">
        <x:f>IF(B283="","",IFERROR(XLOOKUP(B283,'Locales'!$A$2:$A$200,'Locales'!$B$2:$B$200),"Codigo no encontrado"))</x:f>
      </x:c>
      <x:c r="D283" s="8"/>
      <x:c r="E283" s="8"/>
      <x:c r="F283" s="8"/>
      <x:c r="G283" s="8"/>
      <x:c r="H283" s="8" t="str">
        <x:f>IF(COUNTA(D283:G283)=0,"",D283-E283-F283-G283)</x:f>
      </x:c>
      <x:c r="I283" s="5" t="str">
        <x:f>IF(H283="","Sin datos",IF(H283&lt;='Parametros'!$B$3,"Cumple","No cumple"))</x:f>
        <x:v>Sin datos</x:v>
      </x:c>
    </x:row>
    <x:row r="284">
      <x:c r="A284" s="5"/>
      <x:c r="B284" s="7"/>
      <x:c r="C284" s="5" t="str">
        <x:f>IF(B284="","",IFERROR(XLOOKUP(B284,'Locales'!$A$2:$A$200,'Locales'!$B$2:$B$200),"Codigo no encontrado"))</x:f>
      </x:c>
      <x:c r="D284" s="8"/>
      <x:c r="E284" s="8"/>
      <x:c r="F284" s="8"/>
      <x:c r="G284" s="8"/>
      <x:c r="H284" s="8" t="str">
        <x:f>IF(COUNTA(D284:G284)=0,"",D284-E284-F284-G284)</x:f>
      </x:c>
      <x:c r="I284" s="5" t="str">
        <x:f>IF(H284="","Sin datos",IF(H284&lt;='Parametros'!$B$3,"Cumple","No cumple"))</x:f>
        <x:v>Sin datos</x:v>
      </x:c>
    </x:row>
    <x:row r="285">
      <x:c r="A285" s="5"/>
      <x:c r="B285" s="7"/>
      <x:c r="C285" s="5" t="str">
        <x:f>IF(B285="","",IFERROR(XLOOKUP(B285,'Locales'!$A$2:$A$200,'Locales'!$B$2:$B$200),"Codigo no encontrado"))</x:f>
      </x:c>
      <x:c r="D285" s="8"/>
      <x:c r="E285" s="8"/>
      <x:c r="F285" s="8"/>
      <x:c r="G285" s="8"/>
      <x:c r="H285" s="8" t="str">
        <x:f>IF(COUNTA(D285:G285)=0,"",D285-E285-F285-G285)</x:f>
      </x:c>
      <x:c r="I285" s="5" t="str">
        <x:f>IF(H285="","Sin datos",IF(H285&lt;='Parametros'!$B$3,"Cumple","No cumple"))</x:f>
        <x:v>Sin datos</x:v>
      </x:c>
    </x:row>
    <x:row r="286">
      <x:c r="A286" s="5"/>
      <x:c r="B286" s="7"/>
      <x:c r="C286" s="5" t="str">
        <x:f>IF(B286="","",IFERROR(XLOOKUP(B286,'Locales'!$A$2:$A$200,'Locales'!$B$2:$B$200),"Codigo no encontrado"))</x:f>
      </x:c>
      <x:c r="D286" s="8"/>
      <x:c r="E286" s="8"/>
      <x:c r="F286" s="8"/>
      <x:c r="G286" s="8"/>
      <x:c r="H286" s="8" t="str">
        <x:f>IF(COUNTA(D286:G286)=0,"",D286-E286-F286-G286)</x:f>
      </x:c>
      <x:c r="I286" s="5" t="str">
        <x:f>IF(H286="","Sin datos",IF(H286&lt;='Parametros'!$B$3,"Cumple","No cumple"))</x:f>
        <x:v>Sin datos</x:v>
      </x:c>
    </x:row>
    <x:row r="287">
      <x:c r="A287" s="5"/>
      <x:c r="B287" s="7"/>
      <x:c r="C287" s="5" t="str">
        <x:f>IF(B287="","",IFERROR(XLOOKUP(B287,'Locales'!$A$2:$A$200,'Locales'!$B$2:$B$200),"Codigo no encontrado"))</x:f>
      </x:c>
      <x:c r="D287" s="8"/>
      <x:c r="E287" s="8"/>
      <x:c r="F287" s="8"/>
      <x:c r="G287" s="8"/>
      <x:c r="H287" s="8" t="str">
        <x:f>IF(COUNTA(D287:G287)=0,"",D287-E287-F287-G287)</x:f>
      </x:c>
      <x:c r="I287" s="5" t="str">
        <x:f>IF(H287="","Sin datos",IF(H287&lt;='Parametros'!$B$3,"Cumple","No cumple"))</x:f>
        <x:v>Sin datos</x:v>
      </x:c>
    </x:row>
    <x:row r="288">
      <x:c r="A288" s="5"/>
      <x:c r="B288" s="7"/>
      <x:c r="C288" s="5" t="str">
        <x:f>IF(B288="","",IFERROR(XLOOKUP(B288,'Locales'!$A$2:$A$200,'Locales'!$B$2:$B$200),"Codigo no encontrado"))</x:f>
      </x:c>
      <x:c r="D288" s="8"/>
      <x:c r="E288" s="8"/>
      <x:c r="F288" s="8"/>
      <x:c r="G288" s="8"/>
      <x:c r="H288" s="8" t="str">
        <x:f>IF(COUNTA(D288:G288)=0,"",D288-E288-F288-G288)</x:f>
      </x:c>
      <x:c r="I288" s="5" t="str">
        <x:f>IF(H288="","Sin datos",IF(H288&lt;='Parametros'!$B$3,"Cumple","No cumple"))</x:f>
        <x:v>Sin datos</x:v>
      </x:c>
    </x:row>
    <x:row r="289">
      <x:c r="A289" s="5"/>
      <x:c r="B289" s="7"/>
      <x:c r="C289" s="5" t="str">
        <x:f>IF(B289="","",IFERROR(XLOOKUP(B289,'Locales'!$A$2:$A$200,'Locales'!$B$2:$B$200),"Codigo no encontrado"))</x:f>
      </x:c>
      <x:c r="D289" s="8"/>
      <x:c r="E289" s="8"/>
      <x:c r="F289" s="8"/>
      <x:c r="G289" s="8"/>
      <x:c r="H289" s="8" t="str">
        <x:f>IF(COUNTA(D289:G289)=0,"",D289-E289-F289-G289)</x:f>
      </x:c>
      <x:c r="I289" s="5" t="str">
        <x:f>IF(H289="","Sin datos",IF(H289&lt;='Parametros'!$B$3,"Cumple","No cumple"))</x:f>
        <x:v>Sin datos</x:v>
      </x:c>
    </x:row>
    <x:row r="290">
      <x:c r="A290" s="5"/>
      <x:c r="B290" s="7"/>
      <x:c r="C290" s="5" t="str">
        <x:f>IF(B290="","",IFERROR(XLOOKUP(B290,'Locales'!$A$2:$A$200,'Locales'!$B$2:$B$200),"Codigo no encontrado"))</x:f>
      </x:c>
      <x:c r="D290" s="8"/>
      <x:c r="E290" s="8"/>
      <x:c r="F290" s="8"/>
      <x:c r="G290" s="8"/>
      <x:c r="H290" s="8" t="str">
        <x:f>IF(COUNTA(D290:G290)=0,"",D290-E290-F290-G290)</x:f>
      </x:c>
      <x:c r="I290" s="5" t="str">
        <x:f>IF(H290="","Sin datos",IF(H290&lt;='Parametros'!$B$3,"Cumple","No cumple"))</x:f>
        <x:v>Sin datos</x:v>
      </x:c>
    </x:row>
    <x:row r="291">
      <x:c r="A291" s="5"/>
      <x:c r="B291" s="7"/>
      <x:c r="C291" s="5" t="str">
        <x:f>IF(B291="","",IFERROR(XLOOKUP(B291,'Locales'!$A$2:$A$200,'Locales'!$B$2:$B$200),"Codigo no encontrado"))</x:f>
      </x:c>
      <x:c r="D291" s="8"/>
      <x:c r="E291" s="8"/>
      <x:c r="F291" s="8"/>
      <x:c r="G291" s="8"/>
      <x:c r="H291" s="8" t="str">
        <x:f>IF(COUNTA(D291:G291)=0,"",D291-E291-F291-G291)</x:f>
      </x:c>
      <x:c r="I291" s="5" t="str">
        <x:f>IF(H291="","Sin datos",IF(H291&lt;='Parametros'!$B$3,"Cumple","No cumple"))</x:f>
        <x:v>Sin datos</x:v>
      </x:c>
    </x:row>
    <x:row r="292">
      <x:c r="A292" s="5"/>
      <x:c r="B292" s="7"/>
      <x:c r="C292" s="5" t="str">
        <x:f>IF(B292="","",IFERROR(XLOOKUP(B292,'Locales'!$A$2:$A$200,'Locales'!$B$2:$B$200),"Codigo no encontrado"))</x:f>
      </x:c>
      <x:c r="D292" s="8"/>
      <x:c r="E292" s="8"/>
      <x:c r="F292" s="8"/>
      <x:c r="G292" s="8"/>
      <x:c r="H292" s="8" t="str">
        <x:f>IF(COUNTA(D292:G292)=0,"",D292-E292-F292-G292)</x:f>
      </x:c>
      <x:c r="I292" s="5" t="str">
        <x:f>IF(H292="","Sin datos",IF(H292&lt;='Parametros'!$B$3,"Cumple","No cumple"))</x:f>
        <x:v>Sin datos</x:v>
      </x:c>
    </x:row>
    <x:row r="293">
      <x:c r="A293" s="5"/>
      <x:c r="B293" s="7"/>
      <x:c r="C293" s="5" t="str">
        <x:f>IF(B293="","",IFERROR(XLOOKUP(B293,'Locales'!$A$2:$A$200,'Locales'!$B$2:$B$200),"Codigo no encontrado"))</x:f>
      </x:c>
      <x:c r="D293" s="8"/>
      <x:c r="E293" s="8"/>
      <x:c r="F293" s="8"/>
      <x:c r="G293" s="8"/>
      <x:c r="H293" s="8" t="str">
        <x:f>IF(COUNTA(D293:G293)=0,"",D293-E293-F293-G293)</x:f>
      </x:c>
      <x:c r="I293" s="5" t="str">
        <x:f>IF(H293="","Sin datos",IF(H293&lt;='Parametros'!$B$3,"Cumple","No cumple"))</x:f>
        <x:v>Sin datos</x:v>
      </x:c>
    </x:row>
    <x:row r="294">
      <x:c r="A294" s="5"/>
      <x:c r="B294" s="7"/>
      <x:c r="C294" s="5" t="str">
        <x:f>IF(B294="","",IFERROR(XLOOKUP(B294,'Locales'!$A$2:$A$200,'Locales'!$B$2:$B$200),"Codigo no encontrado"))</x:f>
      </x:c>
      <x:c r="D294" s="8"/>
      <x:c r="E294" s="8"/>
      <x:c r="F294" s="8"/>
      <x:c r="G294" s="8"/>
      <x:c r="H294" s="8" t="str">
        <x:f>IF(COUNTA(D294:G294)=0,"",D294-E294-F294-G294)</x:f>
      </x:c>
      <x:c r="I294" s="5" t="str">
        <x:f>IF(H294="","Sin datos",IF(H294&lt;='Parametros'!$B$3,"Cumple","No cumple"))</x:f>
        <x:v>Sin datos</x:v>
      </x:c>
    </x:row>
    <x:row r="295">
      <x:c r="A295" s="5"/>
      <x:c r="B295" s="7"/>
      <x:c r="C295" s="5" t="str">
        <x:f>IF(B295="","",IFERROR(XLOOKUP(B295,'Locales'!$A$2:$A$200,'Locales'!$B$2:$B$200),"Codigo no encontrado"))</x:f>
      </x:c>
      <x:c r="D295" s="8"/>
      <x:c r="E295" s="8"/>
      <x:c r="F295" s="8"/>
      <x:c r="G295" s="8"/>
      <x:c r="H295" s="8" t="str">
        <x:f>IF(COUNTA(D295:G295)=0,"",D295-E295-F295-G295)</x:f>
      </x:c>
      <x:c r="I295" s="5" t="str">
        <x:f>IF(H295="","Sin datos",IF(H295&lt;='Parametros'!$B$3,"Cumple","No cumple"))</x:f>
        <x:v>Sin datos</x:v>
      </x:c>
    </x:row>
    <x:row r="296">
      <x:c r="A296" s="5"/>
      <x:c r="B296" s="7"/>
      <x:c r="C296" s="5" t="str">
        <x:f>IF(B296="","",IFERROR(XLOOKUP(B296,'Locales'!$A$2:$A$200,'Locales'!$B$2:$B$200),"Codigo no encontrado"))</x:f>
      </x:c>
      <x:c r="D296" s="8"/>
      <x:c r="E296" s="8"/>
      <x:c r="F296" s="8"/>
      <x:c r="G296" s="8"/>
      <x:c r="H296" s="8" t="str">
        <x:f>IF(COUNTA(D296:G296)=0,"",D296-E296-F296-G296)</x:f>
      </x:c>
      <x:c r="I296" s="5" t="str">
        <x:f>IF(H296="","Sin datos",IF(H296&lt;='Parametros'!$B$3,"Cumple","No cumple"))</x:f>
        <x:v>Sin datos</x:v>
      </x:c>
    </x:row>
    <x:row r="297">
      <x:c r="A297" s="5"/>
      <x:c r="B297" s="7"/>
      <x:c r="C297" s="5" t="str">
        <x:f>IF(B297="","",IFERROR(XLOOKUP(B297,'Locales'!$A$2:$A$200,'Locales'!$B$2:$B$200),"Codigo no encontrado"))</x:f>
      </x:c>
      <x:c r="D297" s="8"/>
      <x:c r="E297" s="8"/>
      <x:c r="F297" s="8"/>
      <x:c r="G297" s="8"/>
      <x:c r="H297" s="8" t="str">
        <x:f>IF(COUNTA(D297:G297)=0,"",D297-E297-F297-G297)</x:f>
      </x:c>
      <x:c r="I297" s="5" t="str">
        <x:f>IF(H297="","Sin datos",IF(H297&lt;='Parametros'!$B$3,"Cumple","No cumple"))</x:f>
        <x:v>Sin datos</x:v>
      </x:c>
    </x:row>
    <x:row r="298">
      <x:c r="A298" s="5"/>
      <x:c r="B298" s="7"/>
      <x:c r="C298" s="5" t="str">
        <x:f>IF(B298="","",IFERROR(XLOOKUP(B298,'Locales'!$A$2:$A$200,'Locales'!$B$2:$B$200),"Codigo no encontrado"))</x:f>
      </x:c>
      <x:c r="D298" s="8"/>
      <x:c r="E298" s="8"/>
      <x:c r="F298" s="8"/>
      <x:c r="G298" s="8"/>
      <x:c r="H298" s="8" t="str">
        <x:f>IF(COUNTA(D298:G298)=0,"",D298-E298-F298-G298)</x:f>
      </x:c>
      <x:c r="I298" s="5" t="str">
        <x:f>IF(H298="","Sin datos",IF(H298&lt;='Parametros'!$B$3,"Cumple","No cumple"))</x:f>
        <x:v>Sin datos</x:v>
      </x:c>
    </x:row>
    <x:row r="299">
      <x:c r="A299" s="5"/>
      <x:c r="B299" s="7"/>
      <x:c r="C299" s="5" t="str">
        <x:f>IF(B299="","",IFERROR(XLOOKUP(B299,'Locales'!$A$2:$A$200,'Locales'!$B$2:$B$200),"Codigo no encontrado"))</x:f>
      </x:c>
      <x:c r="D299" s="8"/>
      <x:c r="E299" s="8"/>
      <x:c r="F299" s="8"/>
      <x:c r="G299" s="8"/>
      <x:c r="H299" s="8" t="str">
        <x:f>IF(COUNTA(D299:G299)=0,"",D299-E299-F299-G299)</x:f>
      </x:c>
      <x:c r="I299" s="5" t="str">
        <x:f>IF(H299="","Sin datos",IF(H299&lt;='Parametros'!$B$3,"Cumple","No cumple"))</x:f>
        <x:v>Sin datos</x:v>
      </x:c>
    </x:row>
    <x:row r="300">
      <x:c r="A300" s="5"/>
      <x:c r="B300" s="7"/>
      <x:c r="C300" s="5" t="str">
        <x:f>IF(B300="","",IFERROR(XLOOKUP(B300,'Locales'!$A$2:$A$200,'Locales'!$B$2:$B$200),"Codigo no encontrado"))</x:f>
      </x:c>
      <x:c r="D300" s="8"/>
      <x:c r="E300" s="8"/>
      <x:c r="F300" s="8"/>
      <x:c r="G300" s="8"/>
      <x:c r="H300" s="8" t="str">
        <x:f>IF(COUNTA(D300:G300)=0,"",D300-E300-F300-G300)</x:f>
      </x:c>
      <x:c r="I300" s="5" t="str">
        <x:f>IF(H300="","Sin datos",IF(H300&lt;='Parametros'!$B$3,"Cumple","No cumple"))</x:f>
        <x:v>Sin datos</x:v>
      </x:c>
    </x:row>
    <x:row r="301">
      <x:c r="A301" s="5"/>
      <x:c r="B301" s="7"/>
      <x:c r="C301" s="5" t="str">
        <x:f>IF(B301="","",IFERROR(XLOOKUP(B301,'Locales'!$A$2:$A$200,'Locales'!$B$2:$B$200),"Codigo no encontrado"))</x:f>
      </x:c>
      <x:c r="D301" s="8"/>
      <x:c r="E301" s="8"/>
      <x:c r="F301" s="8"/>
      <x:c r="G301" s="8"/>
      <x:c r="H301" s="8" t="str">
        <x:f>IF(COUNTA(D301:G301)=0,"",D301-E301-F301-G301)</x:f>
      </x:c>
      <x:c r="I301" s="5" t="str">
        <x:f>IF(H301="","Sin datos",IF(H301&lt;='Parametros'!$B$3,"Cumple","No cumple"))</x:f>
        <x:v>Sin datos</x:v>
      </x:c>
    </x:row>
    <x:row r="302">
      <x:c r="A302" s="5"/>
      <x:c r="B302" s="7"/>
      <x:c r="C302" s="5" t="str">
        <x:f>IF(B302="","",IFERROR(XLOOKUP(B302,'Locales'!$A$2:$A$200,'Locales'!$B$2:$B$200),"Codigo no encontrado"))</x:f>
      </x:c>
      <x:c r="D302" s="8"/>
      <x:c r="E302" s="8"/>
      <x:c r="F302" s="8"/>
      <x:c r="G302" s="8"/>
      <x:c r="H302" s="8" t="str">
        <x:f>IF(COUNTA(D302:G302)=0,"",D302-E302-F302-G302)</x:f>
      </x:c>
      <x:c r="I302" s="5" t="str">
        <x:f>IF(H302="","Sin datos",IF(H302&lt;='Parametros'!$B$3,"Cumple","No cumple"))</x:f>
        <x:v>Sin datos</x:v>
      </x:c>
    </x:row>
    <x:row r="303">
      <x:c r="A303" s="5"/>
      <x:c r="B303" s="7"/>
      <x:c r="C303" s="5" t="str">
        <x:f>IF(B303="","",IFERROR(XLOOKUP(B303,'Locales'!$A$2:$A$200,'Locales'!$B$2:$B$200),"Codigo no encontrado"))</x:f>
      </x:c>
      <x:c r="D303" s="8"/>
      <x:c r="E303" s="8"/>
      <x:c r="F303" s="8"/>
      <x:c r="G303" s="8"/>
      <x:c r="H303" s="8" t="str">
        <x:f>IF(COUNTA(D303:G303)=0,"",D303-E303-F303-G303)</x:f>
      </x:c>
      <x:c r="I303" s="5" t="str">
        <x:f>IF(H303="","Sin datos",IF(H303&lt;='Parametros'!$B$3,"Cumple","No cumple"))</x:f>
        <x:v>Sin datos</x:v>
      </x:c>
    </x:row>
    <x:row r="304">
      <x:c r="A304" s="5"/>
      <x:c r="B304" s="7"/>
      <x:c r="C304" s="5" t="str">
        <x:f>IF(B304="","",IFERROR(XLOOKUP(B304,'Locales'!$A$2:$A$200,'Locales'!$B$2:$B$200),"Codigo no encontrado"))</x:f>
      </x:c>
      <x:c r="D304" s="8"/>
      <x:c r="E304" s="8"/>
      <x:c r="F304" s="8"/>
      <x:c r="G304" s="8"/>
      <x:c r="H304" s="8" t="str">
        <x:f>IF(COUNTA(D304:G304)=0,"",D304-E304-F304-G304)</x:f>
      </x:c>
      <x:c r="I304" s="5" t="str">
        <x:f>IF(H304="","Sin datos",IF(H304&lt;='Parametros'!$B$3,"Cumple","No cumple"))</x:f>
        <x:v>Sin datos</x:v>
      </x:c>
    </x:row>
    <x:row r="305">
      <x:c r="A305" s="5"/>
      <x:c r="B305" s="7"/>
      <x:c r="C305" s="5" t="str">
        <x:f>IF(B305="","",IFERROR(XLOOKUP(B305,'Locales'!$A$2:$A$200,'Locales'!$B$2:$B$200),"Codigo no encontrado"))</x:f>
      </x:c>
      <x:c r="D305" s="8"/>
      <x:c r="E305" s="8"/>
      <x:c r="F305" s="8"/>
      <x:c r="G305" s="8"/>
      <x:c r="H305" s="8" t="str">
        <x:f>IF(COUNTA(D305:G305)=0,"",D305-E305-F305-G305)</x:f>
      </x:c>
      <x:c r="I305" s="5" t="str">
        <x:f>IF(H305="","Sin datos",IF(H305&lt;='Parametros'!$B$3,"Cumple","No cumple"))</x:f>
        <x:v>Sin datos</x:v>
      </x:c>
    </x:row>
    <x:row r="306">
      <x:c r="A306" s="5"/>
      <x:c r="B306" s="7"/>
      <x:c r="C306" s="5" t="str">
        <x:f>IF(B306="","",IFERROR(XLOOKUP(B306,'Locales'!$A$2:$A$200,'Locales'!$B$2:$B$200),"Codigo no encontrado"))</x:f>
      </x:c>
      <x:c r="D306" s="8"/>
      <x:c r="E306" s="8"/>
      <x:c r="F306" s="8"/>
      <x:c r="G306" s="8"/>
      <x:c r="H306" s="8" t="str">
        <x:f>IF(COUNTA(D306:G306)=0,"",D306-E306-F306-G306)</x:f>
      </x:c>
      <x:c r="I306" s="5" t="str">
        <x:f>IF(H306="","Sin datos",IF(H306&lt;='Parametros'!$B$3,"Cumple","No cumple"))</x:f>
        <x:v>Sin datos</x:v>
      </x:c>
    </x:row>
    <x:row r="307">
      <x:c r="A307" s="5"/>
      <x:c r="B307" s="7"/>
      <x:c r="C307" s="5" t="str">
        <x:f>IF(B307="","",IFERROR(XLOOKUP(B307,'Locales'!$A$2:$A$200,'Locales'!$B$2:$B$200),"Codigo no encontrado"))</x:f>
      </x:c>
      <x:c r="D307" s="8"/>
      <x:c r="E307" s="8"/>
      <x:c r="F307" s="8"/>
      <x:c r="G307" s="8"/>
      <x:c r="H307" s="8" t="str">
        <x:f>IF(COUNTA(D307:G307)=0,"",D307-E307-F307-G307)</x:f>
      </x:c>
      <x:c r="I307" s="5" t="str">
        <x:f>IF(H307="","Sin datos",IF(H307&lt;='Parametros'!$B$3,"Cumple","No cumple"))</x:f>
        <x:v>Sin datos</x:v>
      </x:c>
    </x:row>
    <x:row r="308">
      <x:c r="A308" s="5"/>
      <x:c r="B308" s="7"/>
      <x:c r="C308" s="5" t="str">
        <x:f>IF(B308="","",IFERROR(XLOOKUP(B308,'Locales'!$A$2:$A$200,'Locales'!$B$2:$B$200),"Codigo no encontrado"))</x:f>
      </x:c>
      <x:c r="D308" s="8"/>
      <x:c r="E308" s="8"/>
      <x:c r="F308" s="8"/>
      <x:c r="G308" s="8"/>
      <x:c r="H308" s="8" t="str">
        <x:f>IF(COUNTA(D308:G308)=0,"",D308-E308-F308-G308)</x:f>
      </x:c>
      <x:c r="I308" s="5" t="str">
        <x:f>IF(H308="","Sin datos",IF(H308&lt;='Parametros'!$B$3,"Cumple","No cumple"))</x:f>
        <x:v>Sin datos</x:v>
      </x:c>
    </x:row>
    <x:row r="309">
      <x:c r="A309" s="5"/>
      <x:c r="B309" s="7"/>
      <x:c r="C309" s="5" t="str">
        <x:f>IF(B309="","",IFERROR(XLOOKUP(B309,'Locales'!$A$2:$A$200,'Locales'!$B$2:$B$200),"Codigo no encontrado"))</x:f>
      </x:c>
      <x:c r="D309" s="8"/>
      <x:c r="E309" s="8"/>
      <x:c r="F309" s="8"/>
      <x:c r="G309" s="8"/>
      <x:c r="H309" s="8" t="str">
        <x:f>IF(COUNTA(D309:G309)=0,"",D309-E309-F309-G309)</x:f>
      </x:c>
      <x:c r="I309" s="5" t="str">
        <x:f>IF(H309="","Sin datos",IF(H309&lt;='Parametros'!$B$3,"Cumple","No cumple"))</x:f>
        <x:v>Sin datos</x:v>
      </x:c>
    </x:row>
    <x:row r="310">
      <x:c r="A310" s="5"/>
      <x:c r="B310" s="7"/>
      <x:c r="C310" s="5" t="str">
        <x:f>IF(B310="","",IFERROR(XLOOKUP(B310,'Locales'!$A$2:$A$200,'Locales'!$B$2:$B$200),"Codigo no encontrado"))</x:f>
      </x:c>
      <x:c r="D310" s="8"/>
      <x:c r="E310" s="8"/>
      <x:c r="F310" s="8"/>
      <x:c r="G310" s="8"/>
      <x:c r="H310" s="8" t="str">
        <x:f>IF(COUNTA(D310:G310)=0,"",D310-E310-F310-G310)</x:f>
      </x:c>
      <x:c r="I310" s="5" t="str">
        <x:f>IF(H310="","Sin datos",IF(H310&lt;='Parametros'!$B$3,"Cumple","No cumple"))</x:f>
        <x:v>Sin datos</x:v>
      </x:c>
    </x:row>
    <x:row r="311">
      <x:c r="A311" s="5"/>
      <x:c r="B311" s="7"/>
      <x:c r="C311" s="5" t="str">
        <x:f>IF(B311="","",IFERROR(XLOOKUP(B311,'Locales'!$A$2:$A$200,'Locales'!$B$2:$B$200),"Codigo no encontrado"))</x:f>
      </x:c>
      <x:c r="D311" s="8"/>
      <x:c r="E311" s="8"/>
      <x:c r="F311" s="8"/>
      <x:c r="G311" s="8"/>
      <x:c r="H311" s="8" t="str">
        <x:f>IF(COUNTA(D311:G311)=0,"",D311-E311-F311-G311)</x:f>
      </x:c>
      <x:c r="I311" s="5" t="str">
        <x:f>IF(H311="","Sin datos",IF(H311&lt;='Parametros'!$B$3,"Cumple","No cumple"))</x:f>
        <x:v>Sin datos</x:v>
      </x:c>
    </x:row>
    <x:row r="312">
      <x:c r="A312" s="5"/>
      <x:c r="B312" s="7"/>
      <x:c r="C312" s="5" t="str">
        <x:f>IF(B312="","",IFERROR(XLOOKUP(B312,'Locales'!$A$2:$A$200,'Locales'!$B$2:$B$200),"Codigo no encontrado"))</x:f>
      </x:c>
      <x:c r="D312" s="8"/>
      <x:c r="E312" s="8"/>
      <x:c r="F312" s="8"/>
      <x:c r="G312" s="8"/>
      <x:c r="H312" s="8" t="str">
        <x:f>IF(COUNTA(D312:G312)=0,"",D312-E312-F312-G312)</x:f>
      </x:c>
      <x:c r="I312" s="5" t="str">
        <x:f>IF(H312="","Sin datos",IF(H312&lt;='Parametros'!$B$3,"Cumple","No cumple"))</x:f>
        <x:v>Sin datos</x:v>
      </x:c>
    </x:row>
    <x:row r="313">
      <x:c r="A313" s="5"/>
      <x:c r="B313" s="7"/>
      <x:c r="C313" s="5" t="str">
        <x:f>IF(B313="","",IFERROR(XLOOKUP(B313,'Locales'!$A$2:$A$200,'Locales'!$B$2:$B$200),"Codigo no encontrado"))</x:f>
      </x:c>
      <x:c r="D313" s="8"/>
      <x:c r="E313" s="8"/>
      <x:c r="F313" s="8"/>
      <x:c r="G313" s="8"/>
      <x:c r="H313" s="8" t="str">
        <x:f>IF(COUNTA(D313:G313)=0,"",D313-E313-F313-G313)</x:f>
      </x:c>
      <x:c r="I313" s="5" t="str">
        <x:f>IF(H313="","Sin datos",IF(H313&lt;='Parametros'!$B$3,"Cumple","No cumple"))</x:f>
        <x:v>Sin datos</x:v>
      </x:c>
    </x:row>
    <x:row r="314">
      <x:c r="A314" s="5"/>
      <x:c r="B314" s="7"/>
      <x:c r="C314" s="5" t="str">
        <x:f>IF(B314="","",IFERROR(XLOOKUP(B314,'Locales'!$A$2:$A$200,'Locales'!$B$2:$B$200),"Codigo no encontrado"))</x:f>
      </x:c>
      <x:c r="D314" s="8"/>
      <x:c r="E314" s="8"/>
      <x:c r="F314" s="8"/>
      <x:c r="G314" s="8"/>
      <x:c r="H314" s="8" t="str">
        <x:f>IF(COUNTA(D314:G314)=0,"",D314-E314-F314-G314)</x:f>
      </x:c>
      <x:c r="I314" s="5" t="str">
        <x:f>IF(H314="","Sin datos",IF(H314&lt;='Parametros'!$B$3,"Cumple","No cumple"))</x:f>
        <x:v>Sin datos</x:v>
      </x:c>
    </x:row>
    <x:row r="315">
      <x:c r="A315" s="5"/>
      <x:c r="B315" s="7"/>
      <x:c r="C315" s="5" t="str">
        <x:f>IF(B315="","",IFERROR(XLOOKUP(B315,'Locales'!$A$2:$A$200,'Locales'!$B$2:$B$200),"Codigo no encontrado"))</x:f>
      </x:c>
      <x:c r="D315" s="8"/>
      <x:c r="E315" s="8"/>
      <x:c r="F315" s="8"/>
      <x:c r="G315" s="8"/>
      <x:c r="H315" s="8" t="str">
        <x:f>IF(COUNTA(D315:G315)=0,"",D315-E315-F315-G315)</x:f>
      </x:c>
      <x:c r="I315" s="5" t="str">
        <x:f>IF(H315="","Sin datos",IF(H315&lt;='Parametros'!$B$3,"Cumple","No cumple"))</x:f>
        <x:v>Sin datos</x:v>
      </x:c>
    </x:row>
    <x:row r="316">
      <x:c r="A316" s="5"/>
      <x:c r="B316" s="7"/>
      <x:c r="C316" s="5" t="str">
        <x:f>IF(B316="","",IFERROR(XLOOKUP(B316,'Locales'!$A$2:$A$200,'Locales'!$B$2:$B$200),"Codigo no encontrado"))</x:f>
      </x:c>
      <x:c r="D316" s="8"/>
      <x:c r="E316" s="8"/>
      <x:c r="F316" s="8"/>
      <x:c r="G316" s="8"/>
      <x:c r="H316" s="8" t="str">
        <x:f>IF(COUNTA(D316:G316)=0,"",D316-E316-F316-G316)</x:f>
      </x:c>
      <x:c r="I316" s="5" t="str">
        <x:f>IF(H316="","Sin datos",IF(H316&lt;='Parametros'!$B$3,"Cumple","No cumple"))</x:f>
        <x:v>Sin datos</x:v>
      </x:c>
    </x:row>
    <x:row r="317">
      <x:c r="A317" s="5"/>
      <x:c r="B317" s="7"/>
      <x:c r="C317" s="5" t="str">
        <x:f>IF(B317="","",IFERROR(XLOOKUP(B317,'Locales'!$A$2:$A$200,'Locales'!$B$2:$B$200),"Codigo no encontrado"))</x:f>
      </x:c>
      <x:c r="D317" s="8"/>
      <x:c r="E317" s="8"/>
      <x:c r="F317" s="8"/>
      <x:c r="G317" s="8"/>
      <x:c r="H317" s="8" t="str">
        <x:f>IF(COUNTA(D317:G317)=0,"",D317-E317-F317-G317)</x:f>
      </x:c>
      <x:c r="I317" s="5" t="str">
        <x:f>IF(H317="","Sin datos",IF(H317&lt;='Parametros'!$B$3,"Cumple","No cumple"))</x:f>
        <x:v>Sin datos</x:v>
      </x:c>
    </x:row>
    <x:row r="318">
      <x:c r="A318" s="5"/>
      <x:c r="B318" s="7"/>
      <x:c r="C318" s="5" t="str">
        <x:f>IF(B318="","",IFERROR(XLOOKUP(B318,'Locales'!$A$2:$A$200,'Locales'!$B$2:$B$200),"Codigo no encontrado"))</x:f>
      </x:c>
      <x:c r="D318" s="8"/>
      <x:c r="E318" s="8"/>
      <x:c r="F318" s="8"/>
      <x:c r="G318" s="8"/>
      <x:c r="H318" s="8" t="str">
        <x:f>IF(COUNTA(D318:G318)=0,"",D318-E318-F318-G318)</x:f>
      </x:c>
      <x:c r="I318" s="5" t="str">
        <x:f>IF(H318="","Sin datos",IF(H318&lt;='Parametros'!$B$3,"Cumple","No cumple"))</x:f>
        <x:v>Sin datos</x:v>
      </x:c>
    </x:row>
    <x:row r="319">
      <x:c r="A319" s="5"/>
      <x:c r="B319" s="7"/>
      <x:c r="C319" s="5" t="str">
        <x:f>IF(B319="","",IFERROR(XLOOKUP(B319,'Locales'!$A$2:$A$200,'Locales'!$B$2:$B$200),"Codigo no encontrado"))</x:f>
      </x:c>
      <x:c r="D319" s="8"/>
      <x:c r="E319" s="8"/>
      <x:c r="F319" s="8"/>
      <x:c r="G319" s="8"/>
      <x:c r="H319" s="8" t="str">
        <x:f>IF(COUNTA(D319:G319)=0,"",D319-E319-F319-G319)</x:f>
      </x:c>
      <x:c r="I319" s="5" t="str">
        <x:f>IF(H319="","Sin datos",IF(H319&lt;='Parametros'!$B$3,"Cumple","No cumple"))</x:f>
        <x:v>Sin datos</x:v>
      </x:c>
    </x:row>
    <x:row r="320">
      <x:c r="A320" s="5"/>
      <x:c r="B320" s="7"/>
      <x:c r="C320" s="5" t="str">
        <x:f>IF(B320="","",IFERROR(XLOOKUP(B320,'Locales'!$A$2:$A$200,'Locales'!$B$2:$B$200),"Codigo no encontrado"))</x:f>
      </x:c>
      <x:c r="D320" s="8"/>
      <x:c r="E320" s="8"/>
      <x:c r="F320" s="8"/>
      <x:c r="G320" s="8"/>
      <x:c r="H320" s="8" t="str">
        <x:f>IF(COUNTA(D320:G320)=0,"",D320-E320-F320-G320)</x:f>
      </x:c>
      <x:c r="I320" s="5" t="str">
        <x:f>IF(H320="","Sin datos",IF(H320&lt;='Parametros'!$B$3,"Cumple","No cumple"))</x:f>
        <x:v>Sin datos</x:v>
      </x:c>
    </x:row>
    <x:row r="321">
      <x:c r="A321" s="5"/>
      <x:c r="B321" s="7"/>
      <x:c r="C321" s="5" t="str">
        <x:f>IF(B321="","",IFERROR(XLOOKUP(B321,'Locales'!$A$2:$A$200,'Locales'!$B$2:$B$200),"Codigo no encontrado"))</x:f>
      </x:c>
      <x:c r="D321" s="8"/>
      <x:c r="E321" s="8"/>
      <x:c r="F321" s="8"/>
      <x:c r="G321" s="8"/>
      <x:c r="H321" s="8" t="str">
        <x:f>IF(COUNTA(D321:G321)=0,"",D321-E321-F321-G321)</x:f>
      </x:c>
      <x:c r="I321" s="5" t="str">
        <x:f>IF(H321="","Sin datos",IF(H321&lt;='Parametros'!$B$3,"Cumple","No cumple"))</x:f>
        <x:v>Sin datos</x:v>
      </x:c>
    </x:row>
    <x:row r="322">
      <x:c r="A322" s="5"/>
      <x:c r="B322" s="7"/>
      <x:c r="C322" s="5" t="str">
        <x:f>IF(B322="","",IFERROR(XLOOKUP(B322,'Locales'!$A$2:$A$200,'Locales'!$B$2:$B$200),"Codigo no encontrado"))</x:f>
      </x:c>
      <x:c r="D322" s="8"/>
      <x:c r="E322" s="8"/>
      <x:c r="F322" s="8"/>
      <x:c r="G322" s="8"/>
      <x:c r="H322" s="8" t="str">
        <x:f>IF(COUNTA(D322:G322)=0,"",D322-E322-F322-G322)</x:f>
      </x:c>
      <x:c r="I322" s="5" t="str">
        <x:f>IF(H322="","Sin datos",IF(H322&lt;='Parametros'!$B$3,"Cumple","No cumple"))</x:f>
        <x:v>Sin datos</x:v>
      </x:c>
    </x:row>
    <x:row r="323">
      <x:c r="A323" s="5"/>
      <x:c r="B323" s="7"/>
      <x:c r="C323" s="5" t="str">
        <x:f>IF(B323="","",IFERROR(XLOOKUP(B323,'Locales'!$A$2:$A$200,'Locales'!$B$2:$B$200),"Codigo no encontrado"))</x:f>
      </x:c>
      <x:c r="D323" s="8"/>
      <x:c r="E323" s="8"/>
      <x:c r="F323" s="8"/>
      <x:c r="G323" s="8"/>
      <x:c r="H323" s="8" t="str">
        <x:f>IF(COUNTA(D323:G323)=0,"",D323-E323-F323-G323)</x:f>
      </x:c>
      <x:c r="I323" s="5" t="str">
        <x:f>IF(H323="","Sin datos",IF(H323&lt;='Parametros'!$B$3,"Cumple","No cumple"))</x:f>
        <x:v>Sin datos</x:v>
      </x:c>
    </x:row>
    <x:row r="324">
      <x:c r="A324" s="5"/>
      <x:c r="B324" s="7"/>
      <x:c r="C324" s="5" t="str">
        <x:f>IF(B324="","",IFERROR(XLOOKUP(B324,'Locales'!$A$2:$A$200,'Locales'!$B$2:$B$200),"Codigo no encontrado"))</x:f>
      </x:c>
      <x:c r="D324" s="8"/>
      <x:c r="E324" s="8"/>
      <x:c r="F324" s="8"/>
      <x:c r="G324" s="8"/>
      <x:c r="H324" s="8" t="str">
        <x:f>IF(COUNTA(D324:G324)=0,"",D324-E324-F324-G324)</x:f>
      </x:c>
      <x:c r="I324" s="5" t="str">
        <x:f>IF(H324="","Sin datos",IF(H324&lt;='Parametros'!$B$3,"Cumple","No cumple"))</x:f>
        <x:v>Sin datos</x:v>
      </x:c>
    </x:row>
    <x:row r="325">
      <x:c r="A325" s="5"/>
      <x:c r="B325" s="7"/>
      <x:c r="C325" s="5" t="str">
        <x:f>IF(B325="","",IFERROR(XLOOKUP(B325,'Locales'!$A$2:$A$200,'Locales'!$B$2:$B$200),"Codigo no encontrado"))</x:f>
      </x:c>
      <x:c r="D325" s="8"/>
      <x:c r="E325" s="8"/>
      <x:c r="F325" s="8"/>
      <x:c r="G325" s="8"/>
      <x:c r="H325" s="8" t="str">
        <x:f>IF(COUNTA(D325:G325)=0,"",D325-E325-F325-G325)</x:f>
      </x:c>
      <x:c r="I325" s="5" t="str">
        <x:f>IF(H325="","Sin datos",IF(H325&lt;='Parametros'!$B$3,"Cumple","No cumple"))</x:f>
        <x:v>Sin datos</x:v>
      </x:c>
    </x:row>
    <x:row r="326">
      <x:c r="A326" s="5"/>
      <x:c r="B326" s="7"/>
      <x:c r="C326" s="5" t="str">
        <x:f>IF(B326="","",IFERROR(XLOOKUP(B326,'Locales'!$A$2:$A$200,'Locales'!$B$2:$B$200),"Codigo no encontrado"))</x:f>
      </x:c>
      <x:c r="D326" s="8"/>
      <x:c r="E326" s="8"/>
      <x:c r="F326" s="8"/>
      <x:c r="G326" s="8"/>
      <x:c r="H326" s="8" t="str">
        <x:f>IF(COUNTA(D326:G326)=0,"",D326-E326-F326-G326)</x:f>
      </x:c>
      <x:c r="I326" s="5" t="str">
        <x:f>IF(H326="","Sin datos",IF(H326&lt;='Parametros'!$B$3,"Cumple","No cumple"))</x:f>
        <x:v>Sin datos</x:v>
      </x:c>
    </x:row>
    <x:row r="327">
      <x:c r="A327" s="5"/>
      <x:c r="B327" s="7"/>
      <x:c r="C327" s="5" t="str">
        <x:f>IF(B327="","",IFERROR(XLOOKUP(B327,'Locales'!$A$2:$A$200,'Locales'!$B$2:$B$200),"Codigo no encontrado"))</x:f>
      </x:c>
      <x:c r="D327" s="8"/>
      <x:c r="E327" s="8"/>
      <x:c r="F327" s="8"/>
      <x:c r="G327" s="8"/>
      <x:c r="H327" s="8" t="str">
        <x:f>IF(COUNTA(D327:G327)=0,"",D327-E327-F327-G327)</x:f>
      </x:c>
      <x:c r="I327" s="5" t="str">
        <x:f>IF(H327="","Sin datos",IF(H327&lt;='Parametros'!$B$3,"Cumple","No cumple"))</x:f>
        <x:v>Sin datos</x:v>
      </x:c>
    </x:row>
    <x:row r="328">
      <x:c r="A328" s="5"/>
      <x:c r="B328" s="7"/>
      <x:c r="C328" s="5" t="str">
        <x:f>IF(B328="","",IFERROR(XLOOKUP(B328,'Locales'!$A$2:$A$200,'Locales'!$B$2:$B$200),"Codigo no encontrado"))</x:f>
      </x:c>
      <x:c r="D328" s="8"/>
      <x:c r="E328" s="8"/>
      <x:c r="F328" s="8"/>
      <x:c r="G328" s="8"/>
      <x:c r="H328" s="8" t="str">
        <x:f>IF(COUNTA(D328:G328)=0,"",D328-E328-F328-G328)</x:f>
      </x:c>
      <x:c r="I328" s="5" t="str">
        <x:f>IF(H328="","Sin datos",IF(H328&lt;='Parametros'!$B$3,"Cumple","No cumple"))</x:f>
        <x:v>Sin datos</x:v>
      </x:c>
    </x:row>
    <x:row r="329">
      <x:c r="A329" s="5"/>
      <x:c r="B329" s="7"/>
      <x:c r="C329" s="5" t="str">
        <x:f>IF(B329="","",IFERROR(XLOOKUP(B329,'Locales'!$A$2:$A$200,'Locales'!$B$2:$B$200),"Codigo no encontrado"))</x:f>
      </x:c>
      <x:c r="D329" s="8"/>
      <x:c r="E329" s="8"/>
      <x:c r="F329" s="8"/>
      <x:c r="G329" s="8"/>
      <x:c r="H329" s="8" t="str">
        <x:f>IF(COUNTA(D329:G329)=0,"",D329-E329-F329-G329)</x:f>
      </x:c>
      <x:c r="I329" s="5" t="str">
        <x:f>IF(H329="","Sin datos",IF(H329&lt;='Parametros'!$B$3,"Cumple","No cumple"))</x:f>
        <x:v>Sin datos</x:v>
      </x:c>
    </x:row>
    <x:row r="330">
      <x:c r="A330" s="5"/>
      <x:c r="B330" s="7"/>
      <x:c r="C330" s="5" t="str">
        <x:f>IF(B330="","",IFERROR(XLOOKUP(B330,'Locales'!$A$2:$A$200,'Locales'!$B$2:$B$200),"Codigo no encontrado"))</x:f>
      </x:c>
      <x:c r="D330" s="8"/>
      <x:c r="E330" s="8"/>
      <x:c r="F330" s="8"/>
      <x:c r="G330" s="8"/>
      <x:c r="H330" s="8" t="str">
        <x:f>IF(COUNTA(D330:G330)=0,"",D330-E330-F330-G330)</x:f>
      </x:c>
      <x:c r="I330" s="5" t="str">
        <x:f>IF(H330="","Sin datos",IF(H330&lt;='Parametros'!$B$3,"Cumple","No cumple"))</x:f>
        <x:v>Sin datos</x:v>
      </x:c>
    </x:row>
    <x:row r="331">
      <x:c r="A331" s="5"/>
      <x:c r="B331" s="7"/>
      <x:c r="C331" s="5" t="str">
        <x:f>IF(B331="","",IFERROR(XLOOKUP(B331,'Locales'!$A$2:$A$200,'Locales'!$B$2:$B$200),"Codigo no encontrado"))</x:f>
      </x:c>
      <x:c r="D331" s="8"/>
      <x:c r="E331" s="8"/>
      <x:c r="F331" s="8"/>
      <x:c r="G331" s="8"/>
      <x:c r="H331" s="8" t="str">
        <x:f>IF(COUNTA(D331:G331)=0,"",D331-E331-F331-G331)</x:f>
      </x:c>
      <x:c r="I331" s="5" t="str">
        <x:f>IF(H331="","Sin datos",IF(H331&lt;='Parametros'!$B$3,"Cumple","No cumple"))</x:f>
        <x:v>Sin datos</x:v>
      </x:c>
    </x:row>
    <x:row r="332">
      <x:c r="A332" s="5"/>
      <x:c r="B332" s="7"/>
      <x:c r="C332" s="5" t="str">
        <x:f>IF(B332="","",IFERROR(XLOOKUP(B332,'Locales'!$A$2:$A$200,'Locales'!$B$2:$B$200),"Codigo no encontrado"))</x:f>
      </x:c>
      <x:c r="D332" s="8"/>
      <x:c r="E332" s="8"/>
      <x:c r="F332" s="8"/>
      <x:c r="G332" s="8"/>
      <x:c r="H332" s="8" t="str">
        <x:f>IF(COUNTA(D332:G332)=0,"",D332-E332-F332-G332)</x:f>
      </x:c>
      <x:c r="I332" s="5" t="str">
        <x:f>IF(H332="","Sin datos",IF(H332&lt;='Parametros'!$B$3,"Cumple","No cumple"))</x:f>
        <x:v>Sin datos</x:v>
      </x:c>
    </x:row>
    <x:row r="333">
      <x:c r="A333" s="5"/>
      <x:c r="B333" s="7"/>
      <x:c r="C333" s="5" t="str">
        <x:f>IF(B333="","",IFERROR(XLOOKUP(B333,'Locales'!$A$2:$A$200,'Locales'!$B$2:$B$200),"Codigo no encontrado"))</x:f>
      </x:c>
      <x:c r="D333" s="8"/>
      <x:c r="E333" s="8"/>
      <x:c r="F333" s="8"/>
      <x:c r="G333" s="8"/>
      <x:c r="H333" s="8" t="str">
        <x:f>IF(COUNTA(D333:G333)=0,"",D333-E333-F333-G333)</x:f>
      </x:c>
      <x:c r="I333" s="5" t="str">
        <x:f>IF(H333="","Sin datos",IF(H333&lt;='Parametros'!$B$3,"Cumple","No cumple"))</x:f>
        <x:v>Sin datos</x:v>
      </x:c>
    </x:row>
    <x:row r="334">
      <x:c r="A334" s="5"/>
      <x:c r="B334" s="7"/>
      <x:c r="C334" s="5" t="str">
        <x:f>IF(B334="","",IFERROR(XLOOKUP(B334,'Locales'!$A$2:$A$200,'Locales'!$B$2:$B$200),"Codigo no encontrado"))</x:f>
      </x:c>
      <x:c r="D334" s="8"/>
      <x:c r="E334" s="8"/>
      <x:c r="F334" s="8"/>
      <x:c r="G334" s="8"/>
      <x:c r="H334" s="8" t="str">
        <x:f>IF(COUNTA(D334:G334)=0,"",D334-E334-F334-G334)</x:f>
      </x:c>
      <x:c r="I334" s="5" t="str">
        <x:f>IF(H334="","Sin datos",IF(H334&lt;='Parametros'!$B$3,"Cumple","No cumple"))</x:f>
        <x:v>Sin datos</x:v>
      </x:c>
    </x:row>
    <x:row r="335">
      <x:c r="A335" s="5"/>
      <x:c r="B335" s="7"/>
      <x:c r="C335" s="5" t="str">
        <x:f>IF(B335="","",IFERROR(XLOOKUP(B335,'Locales'!$A$2:$A$200,'Locales'!$B$2:$B$200),"Codigo no encontrado"))</x:f>
      </x:c>
      <x:c r="D335" s="8"/>
      <x:c r="E335" s="8"/>
      <x:c r="F335" s="8"/>
      <x:c r="G335" s="8"/>
      <x:c r="H335" s="8" t="str">
        <x:f>IF(COUNTA(D335:G335)=0,"",D335-E335-F335-G335)</x:f>
      </x:c>
      <x:c r="I335" s="5" t="str">
        <x:f>IF(H335="","Sin datos",IF(H335&lt;='Parametros'!$B$3,"Cumple","No cumple"))</x:f>
        <x:v>Sin datos</x:v>
      </x:c>
    </x:row>
    <x:row r="336">
      <x:c r="A336" s="5"/>
      <x:c r="B336" s="7"/>
      <x:c r="C336" s="5" t="str">
        <x:f>IF(B336="","",IFERROR(XLOOKUP(B336,'Locales'!$A$2:$A$200,'Locales'!$B$2:$B$200),"Codigo no encontrado"))</x:f>
      </x:c>
      <x:c r="D336" s="8"/>
      <x:c r="E336" s="8"/>
      <x:c r="F336" s="8"/>
      <x:c r="G336" s="8"/>
      <x:c r="H336" s="8" t="str">
        <x:f>IF(COUNTA(D336:G336)=0,"",D336-E336-F336-G336)</x:f>
      </x:c>
      <x:c r="I336" s="5" t="str">
        <x:f>IF(H336="","Sin datos",IF(H336&lt;='Parametros'!$B$3,"Cumple","No cumple"))</x:f>
        <x:v>Sin datos</x:v>
      </x:c>
    </x:row>
    <x:row r="337">
      <x:c r="A337" s="5"/>
      <x:c r="B337" s="7"/>
      <x:c r="C337" s="5" t="str">
        <x:f>IF(B337="","",IFERROR(XLOOKUP(B337,'Locales'!$A$2:$A$200,'Locales'!$B$2:$B$200),"Codigo no encontrado"))</x:f>
      </x:c>
      <x:c r="D337" s="8"/>
      <x:c r="E337" s="8"/>
      <x:c r="F337" s="8"/>
      <x:c r="G337" s="8"/>
      <x:c r="H337" s="8" t="str">
        <x:f>IF(COUNTA(D337:G337)=0,"",D337-E337-F337-G337)</x:f>
      </x:c>
      <x:c r="I337" s="5" t="str">
        <x:f>IF(H337="","Sin datos",IF(H337&lt;='Parametros'!$B$3,"Cumple","No cumple"))</x:f>
        <x:v>Sin datos</x:v>
      </x:c>
    </x:row>
    <x:row r="338">
      <x:c r="A338" s="5"/>
      <x:c r="B338" s="7"/>
      <x:c r="C338" s="5" t="str">
        <x:f>IF(B338="","",IFERROR(XLOOKUP(B338,'Locales'!$A$2:$A$200,'Locales'!$B$2:$B$200),"Codigo no encontrado"))</x:f>
      </x:c>
      <x:c r="D338" s="8"/>
      <x:c r="E338" s="8"/>
      <x:c r="F338" s="8"/>
      <x:c r="G338" s="8"/>
      <x:c r="H338" s="8" t="str">
        <x:f>IF(COUNTA(D338:G338)=0,"",D338-E338-F338-G338)</x:f>
      </x:c>
      <x:c r="I338" s="5" t="str">
        <x:f>IF(H338="","Sin datos",IF(H338&lt;='Parametros'!$B$3,"Cumple","No cumple"))</x:f>
        <x:v>Sin datos</x:v>
      </x:c>
    </x:row>
    <x:row r="339">
      <x:c r="A339" s="5"/>
      <x:c r="B339" s="7"/>
      <x:c r="C339" s="5" t="str">
        <x:f>IF(B339="","",IFERROR(XLOOKUP(B339,'Locales'!$A$2:$A$200,'Locales'!$B$2:$B$200),"Codigo no encontrado"))</x:f>
      </x:c>
      <x:c r="D339" s="8"/>
      <x:c r="E339" s="8"/>
      <x:c r="F339" s="8"/>
      <x:c r="G339" s="8"/>
      <x:c r="H339" s="8" t="str">
        <x:f>IF(COUNTA(D339:G339)=0,"",D339-E339-F339-G339)</x:f>
      </x:c>
      <x:c r="I339" s="5" t="str">
        <x:f>IF(H339="","Sin datos",IF(H339&lt;='Parametros'!$B$3,"Cumple","No cumple"))</x:f>
        <x:v>Sin datos</x:v>
      </x:c>
    </x:row>
    <x:row r="340">
      <x:c r="A340" s="5"/>
      <x:c r="B340" s="7"/>
      <x:c r="C340" s="5" t="str">
        <x:f>IF(B340="","",IFERROR(XLOOKUP(B340,'Locales'!$A$2:$A$200,'Locales'!$B$2:$B$200),"Codigo no encontrado"))</x:f>
      </x:c>
      <x:c r="D340" s="8"/>
      <x:c r="E340" s="8"/>
      <x:c r="F340" s="8"/>
      <x:c r="G340" s="8"/>
      <x:c r="H340" s="8" t="str">
        <x:f>IF(COUNTA(D340:G340)=0,"",D340-E340-F340-G340)</x:f>
      </x:c>
      <x:c r="I340" s="5" t="str">
        <x:f>IF(H340="","Sin datos",IF(H340&lt;='Parametros'!$B$3,"Cumple","No cumple"))</x:f>
        <x:v>Sin datos</x:v>
      </x:c>
    </x:row>
    <x:row r="341">
      <x:c r="A341" s="5"/>
      <x:c r="B341" s="7"/>
      <x:c r="C341" s="5" t="str">
        <x:f>IF(B341="","",IFERROR(XLOOKUP(B341,'Locales'!$A$2:$A$200,'Locales'!$B$2:$B$200),"Codigo no encontrado"))</x:f>
      </x:c>
      <x:c r="D341" s="8"/>
      <x:c r="E341" s="8"/>
      <x:c r="F341" s="8"/>
      <x:c r="G341" s="8"/>
      <x:c r="H341" s="8" t="str">
        <x:f>IF(COUNTA(D341:G341)=0,"",D341-E341-F341-G341)</x:f>
      </x:c>
      <x:c r="I341" s="5" t="str">
        <x:f>IF(H341="","Sin datos",IF(H341&lt;='Parametros'!$B$3,"Cumple","No cumple"))</x:f>
        <x:v>Sin datos</x:v>
      </x:c>
    </x:row>
    <x:row r="342">
      <x:c r="A342" s="5"/>
      <x:c r="B342" s="7"/>
      <x:c r="C342" s="5" t="str">
        <x:f>IF(B342="","",IFERROR(XLOOKUP(B342,'Locales'!$A$2:$A$200,'Locales'!$B$2:$B$200),"Codigo no encontrado"))</x:f>
      </x:c>
      <x:c r="D342" s="8"/>
      <x:c r="E342" s="8"/>
      <x:c r="F342" s="8"/>
      <x:c r="G342" s="8"/>
      <x:c r="H342" s="8" t="str">
        <x:f>IF(COUNTA(D342:G342)=0,"",D342-E342-F342-G342)</x:f>
      </x:c>
      <x:c r="I342" s="5" t="str">
        <x:f>IF(H342="","Sin datos",IF(H342&lt;='Parametros'!$B$3,"Cumple","No cumple"))</x:f>
        <x:v>Sin datos</x:v>
      </x:c>
    </x:row>
    <x:row r="343">
      <x:c r="A343" s="5"/>
      <x:c r="B343" s="7"/>
      <x:c r="C343" s="5" t="str">
        <x:f>IF(B343="","",IFERROR(XLOOKUP(B343,'Locales'!$A$2:$A$200,'Locales'!$B$2:$B$200),"Codigo no encontrado"))</x:f>
      </x:c>
      <x:c r="D343" s="8"/>
      <x:c r="E343" s="8"/>
      <x:c r="F343" s="8"/>
      <x:c r="G343" s="8"/>
      <x:c r="H343" s="8" t="str">
        <x:f>IF(COUNTA(D343:G343)=0,"",D343-E343-F343-G343)</x:f>
      </x:c>
      <x:c r="I343" s="5" t="str">
        <x:f>IF(H343="","Sin datos",IF(H343&lt;='Parametros'!$B$3,"Cumple","No cumple"))</x:f>
        <x:v>Sin datos</x:v>
      </x:c>
    </x:row>
    <x:row r="344">
      <x:c r="A344" s="5"/>
      <x:c r="B344" s="7"/>
      <x:c r="C344" s="5" t="str">
        <x:f>IF(B344="","",IFERROR(XLOOKUP(B344,'Locales'!$A$2:$A$200,'Locales'!$B$2:$B$200),"Codigo no encontrado"))</x:f>
      </x:c>
      <x:c r="D344" s="8"/>
      <x:c r="E344" s="8"/>
      <x:c r="F344" s="8"/>
      <x:c r="G344" s="8"/>
      <x:c r="H344" s="8" t="str">
        <x:f>IF(COUNTA(D344:G344)=0,"",D344-E344-F344-G344)</x:f>
      </x:c>
      <x:c r="I344" s="5" t="str">
        <x:f>IF(H344="","Sin datos",IF(H344&lt;='Parametros'!$B$3,"Cumple","No cumple"))</x:f>
        <x:v>Sin datos</x:v>
      </x:c>
    </x:row>
    <x:row r="345">
      <x:c r="A345" s="5"/>
      <x:c r="B345" s="7"/>
      <x:c r="C345" s="5" t="str">
        <x:f>IF(B345="","",IFERROR(XLOOKUP(B345,'Locales'!$A$2:$A$200,'Locales'!$B$2:$B$200),"Codigo no encontrado"))</x:f>
      </x:c>
      <x:c r="D345" s="8"/>
      <x:c r="E345" s="8"/>
      <x:c r="F345" s="8"/>
      <x:c r="G345" s="8"/>
      <x:c r="H345" s="8" t="str">
        <x:f>IF(COUNTA(D345:G345)=0,"",D345-E345-F345-G345)</x:f>
      </x:c>
      <x:c r="I345" s="5" t="str">
        <x:f>IF(H345="","Sin datos",IF(H345&lt;='Parametros'!$B$3,"Cumple","No cumple"))</x:f>
        <x:v>Sin datos</x:v>
      </x:c>
    </x:row>
    <x:row r="346">
      <x:c r="A346" s="5"/>
      <x:c r="B346" s="7"/>
      <x:c r="C346" s="5" t="str">
        <x:f>IF(B346="","",IFERROR(XLOOKUP(B346,'Locales'!$A$2:$A$200,'Locales'!$B$2:$B$200),"Codigo no encontrado"))</x:f>
      </x:c>
      <x:c r="D346" s="8"/>
      <x:c r="E346" s="8"/>
      <x:c r="F346" s="8"/>
      <x:c r="G346" s="8"/>
      <x:c r="H346" s="8" t="str">
        <x:f>IF(COUNTA(D346:G346)=0,"",D346-E346-F346-G346)</x:f>
      </x:c>
      <x:c r="I346" s="5" t="str">
        <x:f>IF(H346="","Sin datos",IF(H346&lt;='Parametros'!$B$3,"Cumple","No cumple"))</x:f>
        <x:v>Sin datos</x:v>
      </x:c>
    </x:row>
    <x:row r="347">
      <x:c r="A347" s="5"/>
      <x:c r="B347" s="7"/>
      <x:c r="C347" s="5" t="str">
        <x:f>IF(B347="","",IFERROR(XLOOKUP(B347,'Locales'!$A$2:$A$200,'Locales'!$B$2:$B$200),"Codigo no encontrado"))</x:f>
      </x:c>
      <x:c r="D347" s="8"/>
      <x:c r="E347" s="8"/>
      <x:c r="F347" s="8"/>
      <x:c r="G347" s="8"/>
      <x:c r="H347" s="8" t="str">
        <x:f>IF(COUNTA(D347:G347)=0,"",D347-E347-F347-G347)</x:f>
      </x:c>
      <x:c r="I347" s="5" t="str">
        <x:f>IF(H347="","Sin datos",IF(H347&lt;='Parametros'!$B$3,"Cumple","No cumple"))</x:f>
        <x:v>Sin datos</x:v>
      </x:c>
    </x:row>
    <x:row r="348">
      <x:c r="A348" s="5"/>
      <x:c r="B348" s="7"/>
      <x:c r="C348" s="5" t="str">
        <x:f>IF(B348="","",IFERROR(XLOOKUP(B348,'Locales'!$A$2:$A$200,'Locales'!$B$2:$B$200),"Codigo no encontrado"))</x:f>
      </x:c>
      <x:c r="D348" s="8"/>
      <x:c r="E348" s="8"/>
      <x:c r="F348" s="8"/>
      <x:c r="G348" s="8"/>
      <x:c r="H348" s="8" t="str">
        <x:f>IF(COUNTA(D348:G348)=0,"",D348-E348-F348-G348)</x:f>
      </x:c>
      <x:c r="I348" s="5" t="str">
        <x:f>IF(H348="","Sin datos",IF(H348&lt;='Parametros'!$B$3,"Cumple","No cumple"))</x:f>
        <x:v>Sin datos</x:v>
      </x:c>
    </x:row>
    <x:row r="349">
      <x:c r="A349" s="5"/>
      <x:c r="B349" s="7"/>
      <x:c r="C349" s="5" t="str">
        <x:f>IF(B349="","",IFERROR(XLOOKUP(B349,'Locales'!$A$2:$A$200,'Locales'!$B$2:$B$200),"Codigo no encontrado"))</x:f>
      </x:c>
      <x:c r="D349" s="8"/>
      <x:c r="E349" s="8"/>
      <x:c r="F349" s="8"/>
      <x:c r="G349" s="8"/>
      <x:c r="H349" s="8" t="str">
        <x:f>IF(COUNTA(D349:G349)=0,"",D349-E349-F349-G349)</x:f>
      </x:c>
      <x:c r="I349" s="5" t="str">
        <x:f>IF(H349="","Sin datos",IF(H349&lt;='Parametros'!$B$3,"Cumple","No cumple"))</x:f>
        <x:v>Sin datos</x:v>
      </x:c>
    </x:row>
    <x:row r="350">
      <x:c r="A350" s="5"/>
      <x:c r="B350" s="7"/>
      <x:c r="C350" s="5" t="str">
        <x:f>IF(B350="","",IFERROR(XLOOKUP(B350,'Locales'!$A$2:$A$200,'Locales'!$B$2:$B$200),"Codigo no encontrado"))</x:f>
      </x:c>
      <x:c r="D350" s="8"/>
      <x:c r="E350" s="8"/>
      <x:c r="F350" s="8"/>
      <x:c r="G350" s="8"/>
      <x:c r="H350" s="8" t="str">
        <x:f>IF(COUNTA(D350:G350)=0,"",D350-E350-F350-G350)</x:f>
      </x:c>
      <x:c r="I350" s="5" t="str">
        <x:f>IF(H350="","Sin datos",IF(H350&lt;='Parametros'!$B$3,"Cumple","No cumple"))</x:f>
        <x:v>Sin datos</x:v>
      </x:c>
    </x:row>
    <x:row r="351">
      <x:c r="A351" s="5"/>
      <x:c r="B351" s="7"/>
      <x:c r="C351" s="5" t="str">
        <x:f>IF(B351="","",IFERROR(XLOOKUP(B351,'Locales'!$A$2:$A$200,'Locales'!$B$2:$B$200),"Codigo no encontrado"))</x:f>
      </x:c>
      <x:c r="D351" s="8"/>
      <x:c r="E351" s="8"/>
      <x:c r="F351" s="8"/>
      <x:c r="G351" s="8"/>
      <x:c r="H351" s="8" t="str">
        <x:f>IF(COUNTA(D351:G351)=0,"",D351-E351-F351-G351)</x:f>
      </x:c>
      <x:c r="I351" s="5" t="str">
        <x:f>IF(H351="","Sin datos",IF(H351&lt;='Parametros'!$B$3,"Cumple","No cumple"))</x:f>
        <x:v>Sin datos</x:v>
      </x:c>
    </x:row>
    <x:row r="352">
      <x:c r="A352" s="5"/>
      <x:c r="B352" s="7"/>
      <x:c r="C352" s="5" t="str">
        <x:f>IF(B352="","",IFERROR(XLOOKUP(B352,'Locales'!$A$2:$A$200,'Locales'!$B$2:$B$200),"Codigo no encontrado"))</x:f>
      </x:c>
      <x:c r="D352" s="8"/>
      <x:c r="E352" s="8"/>
      <x:c r="F352" s="8"/>
      <x:c r="G352" s="8"/>
      <x:c r="H352" s="8" t="str">
        <x:f>IF(COUNTA(D352:G352)=0,"",D352-E352-F352-G352)</x:f>
      </x:c>
      <x:c r="I352" s="5" t="str">
        <x:f>IF(H352="","Sin datos",IF(H352&lt;='Parametros'!$B$3,"Cumple","No cumple"))</x:f>
        <x:v>Sin datos</x:v>
      </x:c>
    </x:row>
    <x:row r="353">
      <x:c r="A353" s="5"/>
      <x:c r="B353" s="7"/>
      <x:c r="C353" s="5" t="str">
        <x:f>IF(B353="","",IFERROR(XLOOKUP(B353,'Locales'!$A$2:$A$200,'Locales'!$B$2:$B$200),"Codigo no encontrado"))</x:f>
      </x:c>
      <x:c r="D353" s="8"/>
      <x:c r="E353" s="8"/>
      <x:c r="F353" s="8"/>
      <x:c r="G353" s="8"/>
      <x:c r="H353" s="8" t="str">
        <x:f>IF(COUNTA(D353:G353)=0,"",D353-E353-F353-G353)</x:f>
      </x:c>
      <x:c r="I353" s="5" t="str">
        <x:f>IF(H353="","Sin datos",IF(H353&lt;='Parametros'!$B$3,"Cumple","No cumple"))</x:f>
        <x:v>Sin datos</x:v>
      </x:c>
    </x:row>
    <x:row r="354">
      <x:c r="A354" s="5"/>
      <x:c r="B354" s="7"/>
      <x:c r="C354" s="5" t="str">
        <x:f>IF(B354="","",IFERROR(XLOOKUP(B354,'Locales'!$A$2:$A$200,'Locales'!$B$2:$B$200),"Codigo no encontrado"))</x:f>
      </x:c>
      <x:c r="D354" s="8"/>
      <x:c r="E354" s="8"/>
      <x:c r="F354" s="8"/>
      <x:c r="G354" s="8"/>
      <x:c r="H354" s="8" t="str">
        <x:f>IF(COUNTA(D354:G354)=0,"",D354-E354-F354-G354)</x:f>
      </x:c>
      <x:c r="I354" s="5" t="str">
        <x:f>IF(H354="","Sin datos",IF(H354&lt;='Parametros'!$B$3,"Cumple","No cumple"))</x:f>
        <x:v>Sin datos</x:v>
      </x:c>
    </x:row>
    <x:row r="355">
      <x:c r="A355" s="5"/>
      <x:c r="B355" s="7"/>
      <x:c r="C355" s="5" t="str">
        <x:f>IF(B355="","",IFERROR(XLOOKUP(B355,'Locales'!$A$2:$A$200,'Locales'!$B$2:$B$200),"Codigo no encontrado"))</x:f>
      </x:c>
      <x:c r="D355" s="8"/>
      <x:c r="E355" s="8"/>
      <x:c r="F355" s="8"/>
      <x:c r="G355" s="8"/>
      <x:c r="H355" s="8" t="str">
        <x:f>IF(COUNTA(D355:G355)=0,"",D355-E355-F355-G355)</x:f>
      </x:c>
      <x:c r="I355" s="5" t="str">
        <x:f>IF(H355="","Sin datos",IF(H355&lt;='Parametros'!$B$3,"Cumple","No cumple"))</x:f>
        <x:v>Sin datos</x:v>
      </x:c>
    </x:row>
    <x:row r="356">
      <x:c r="A356" s="5"/>
      <x:c r="B356" s="7"/>
      <x:c r="C356" s="5" t="str">
        <x:f>IF(B356="","",IFERROR(XLOOKUP(B356,'Locales'!$A$2:$A$200,'Locales'!$B$2:$B$200),"Codigo no encontrado"))</x:f>
      </x:c>
      <x:c r="D356" s="8"/>
      <x:c r="E356" s="8"/>
      <x:c r="F356" s="8"/>
      <x:c r="G356" s="8"/>
      <x:c r="H356" s="8" t="str">
        <x:f>IF(COUNTA(D356:G356)=0,"",D356-E356-F356-G356)</x:f>
      </x:c>
      <x:c r="I356" s="5" t="str">
        <x:f>IF(H356="","Sin datos",IF(H356&lt;='Parametros'!$B$3,"Cumple","No cumple"))</x:f>
        <x:v>Sin datos</x:v>
      </x:c>
    </x:row>
    <x:row r="357">
      <x:c r="A357" s="5"/>
      <x:c r="B357" s="7"/>
      <x:c r="C357" s="5" t="str">
        <x:f>IF(B357="","",IFERROR(XLOOKUP(B357,'Locales'!$A$2:$A$200,'Locales'!$B$2:$B$200),"Codigo no encontrado"))</x:f>
      </x:c>
      <x:c r="D357" s="8"/>
      <x:c r="E357" s="8"/>
      <x:c r="F357" s="8"/>
      <x:c r="G357" s="8"/>
      <x:c r="H357" s="8" t="str">
        <x:f>IF(COUNTA(D357:G357)=0,"",D357-E357-F357-G357)</x:f>
      </x:c>
      <x:c r="I357" s="5" t="str">
        <x:f>IF(H357="","Sin datos",IF(H357&lt;='Parametros'!$B$3,"Cumple","No cumple"))</x:f>
        <x:v>Sin datos</x:v>
      </x:c>
    </x:row>
    <x:row r="358">
      <x:c r="A358" s="5"/>
      <x:c r="B358" s="7"/>
      <x:c r="C358" s="5" t="str">
        <x:f>IF(B358="","",IFERROR(XLOOKUP(B358,'Locales'!$A$2:$A$200,'Locales'!$B$2:$B$200),"Codigo no encontrado"))</x:f>
      </x:c>
      <x:c r="D358" s="8"/>
      <x:c r="E358" s="8"/>
      <x:c r="F358" s="8"/>
      <x:c r="G358" s="8"/>
      <x:c r="H358" s="8" t="str">
        <x:f>IF(COUNTA(D358:G358)=0,"",D358-E358-F358-G358)</x:f>
      </x:c>
      <x:c r="I358" s="5" t="str">
        <x:f>IF(H358="","Sin datos",IF(H358&lt;='Parametros'!$B$3,"Cumple","No cumple"))</x:f>
        <x:v>Sin datos</x:v>
      </x:c>
    </x:row>
    <x:row r="359">
      <x:c r="A359" s="5"/>
      <x:c r="B359" s="7"/>
      <x:c r="C359" s="5" t="str">
        <x:f>IF(B359="","",IFERROR(XLOOKUP(B359,'Locales'!$A$2:$A$200,'Locales'!$B$2:$B$200),"Codigo no encontrado"))</x:f>
      </x:c>
      <x:c r="D359" s="8"/>
      <x:c r="E359" s="8"/>
      <x:c r="F359" s="8"/>
      <x:c r="G359" s="8"/>
      <x:c r="H359" s="8" t="str">
        <x:f>IF(COUNTA(D359:G359)=0,"",D359-E359-F359-G359)</x:f>
      </x:c>
      <x:c r="I359" s="5" t="str">
        <x:f>IF(H359="","Sin datos",IF(H359&lt;='Parametros'!$B$3,"Cumple","No cumple"))</x:f>
        <x:v>Sin datos</x:v>
      </x:c>
    </x:row>
    <x:row r="360">
      <x:c r="A360" s="5"/>
      <x:c r="B360" s="7"/>
      <x:c r="C360" s="5" t="str">
        <x:f>IF(B360="","",IFERROR(XLOOKUP(B360,'Locales'!$A$2:$A$200,'Locales'!$B$2:$B$200),"Codigo no encontrado"))</x:f>
      </x:c>
      <x:c r="D360" s="8"/>
      <x:c r="E360" s="8"/>
      <x:c r="F360" s="8"/>
      <x:c r="G360" s="8"/>
      <x:c r="H360" s="8" t="str">
        <x:f>IF(COUNTA(D360:G360)=0,"",D360-E360-F360-G360)</x:f>
      </x:c>
      <x:c r="I360" s="5" t="str">
        <x:f>IF(H360="","Sin datos",IF(H360&lt;='Parametros'!$B$3,"Cumple","No cumple"))</x:f>
        <x:v>Sin datos</x:v>
      </x:c>
    </x:row>
    <x:row r="361">
      <x:c r="A361" s="5"/>
      <x:c r="B361" s="7"/>
      <x:c r="C361" s="5" t="str">
        <x:f>IF(B361="","",IFERROR(XLOOKUP(B361,'Locales'!$A$2:$A$200,'Locales'!$B$2:$B$200),"Codigo no encontrado"))</x:f>
      </x:c>
      <x:c r="D361" s="8"/>
      <x:c r="E361" s="8"/>
      <x:c r="F361" s="8"/>
      <x:c r="G361" s="8"/>
      <x:c r="H361" s="8" t="str">
        <x:f>IF(COUNTA(D361:G361)=0,"",D361-E361-F361-G361)</x:f>
      </x:c>
      <x:c r="I361" s="5" t="str">
        <x:f>IF(H361="","Sin datos",IF(H361&lt;='Parametros'!$B$3,"Cumple","No cumple"))</x:f>
        <x:v>Sin datos</x:v>
      </x:c>
    </x:row>
    <x:row r="362">
      <x:c r="A362" s="5"/>
      <x:c r="B362" s="7"/>
      <x:c r="C362" s="5" t="str">
        <x:f>IF(B362="","",IFERROR(XLOOKUP(B362,'Locales'!$A$2:$A$200,'Locales'!$B$2:$B$200),"Codigo no encontrado"))</x:f>
      </x:c>
      <x:c r="D362" s="8"/>
      <x:c r="E362" s="8"/>
      <x:c r="F362" s="8"/>
      <x:c r="G362" s="8"/>
      <x:c r="H362" s="8" t="str">
        <x:f>IF(COUNTA(D362:G362)=0,"",D362-E362-F362-G362)</x:f>
      </x:c>
      <x:c r="I362" s="5" t="str">
        <x:f>IF(H362="","Sin datos",IF(H362&lt;='Parametros'!$B$3,"Cumple","No cumple"))</x:f>
        <x:v>Sin datos</x:v>
      </x:c>
    </x:row>
    <x:row r="363">
      <x:c r="A363" s="5"/>
      <x:c r="B363" s="7"/>
      <x:c r="C363" s="5" t="str">
        <x:f>IF(B363="","",IFERROR(XLOOKUP(B363,'Locales'!$A$2:$A$200,'Locales'!$B$2:$B$200),"Codigo no encontrado"))</x:f>
      </x:c>
      <x:c r="D363" s="8"/>
      <x:c r="E363" s="8"/>
      <x:c r="F363" s="8"/>
      <x:c r="G363" s="8"/>
      <x:c r="H363" s="8" t="str">
        <x:f>IF(COUNTA(D363:G363)=0,"",D363-E363-F363-G363)</x:f>
      </x:c>
      <x:c r="I363" s="5" t="str">
        <x:f>IF(H363="","Sin datos",IF(H363&lt;='Parametros'!$B$3,"Cumple","No cumple"))</x:f>
        <x:v>Sin datos</x:v>
      </x:c>
    </x:row>
    <x:row r="364">
      <x:c r="A364" s="5"/>
      <x:c r="B364" s="7"/>
      <x:c r="C364" s="5" t="str">
        <x:f>IF(B364="","",IFERROR(XLOOKUP(B364,'Locales'!$A$2:$A$200,'Locales'!$B$2:$B$200),"Codigo no encontrado"))</x:f>
      </x:c>
      <x:c r="D364" s="8"/>
      <x:c r="E364" s="8"/>
      <x:c r="F364" s="8"/>
      <x:c r="G364" s="8"/>
      <x:c r="H364" s="8" t="str">
        <x:f>IF(COUNTA(D364:G364)=0,"",D364-E364-F364-G364)</x:f>
      </x:c>
      <x:c r="I364" s="5" t="str">
        <x:f>IF(H364="","Sin datos",IF(H364&lt;='Parametros'!$B$3,"Cumple","No cumple"))</x:f>
        <x:v>Sin datos</x:v>
      </x:c>
    </x:row>
    <x:row r="365">
      <x:c r="A365" s="5"/>
      <x:c r="B365" s="7"/>
      <x:c r="C365" s="5" t="str">
        <x:f>IF(B365="","",IFERROR(XLOOKUP(B365,'Locales'!$A$2:$A$200,'Locales'!$B$2:$B$200),"Codigo no encontrado"))</x:f>
      </x:c>
      <x:c r="D365" s="8"/>
      <x:c r="E365" s="8"/>
      <x:c r="F365" s="8"/>
      <x:c r="G365" s="8"/>
      <x:c r="H365" s="8" t="str">
        <x:f>IF(COUNTA(D365:G365)=0,"",D365-E365-F365-G365)</x:f>
      </x:c>
      <x:c r="I365" s="5" t="str">
        <x:f>IF(H365="","Sin datos",IF(H365&lt;='Parametros'!$B$3,"Cumple","No cumple"))</x:f>
        <x:v>Sin datos</x:v>
      </x:c>
    </x:row>
    <x:row r="366">
      <x:c r="A366" s="5"/>
      <x:c r="B366" s="7"/>
      <x:c r="C366" s="5" t="str">
        <x:f>IF(B366="","",IFERROR(XLOOKUP(B366,'Locales'!$A$2:$A$200,'Locales'!$B$2:$B$200),"Codigo no encontrado"))</x:f>
      </x:c>
      <x:c r="D366" s="8"/>
      <x:c r="E366" s="8"/>
      <x:c r="F366" s="8"/>
      <x:c r="G366" s="8"/>
      <x:c r="H366" s="8" t="str">
        <x:f>IF(COUNTA(D366:G366)=0,"",D366-E366-F366-G366)</x:f>
      </x:c>
      <x:c r="I366" s="5" t="str">
        <x:f>IF(H366="","Sin datos",IF(H366&lt;='Parametros'!$B$3,"Cumple","No cumple"))</x:f>
        <x:v>Sin datos</x:v>
      </x:c>
    </x:row>
    <x:row r="367">
      <x:c r="A367" s="5"/>
      <x:c r="B367" s="7"/>
      <x:c r="C367" s="5" t="str">
        <x:f>IF(B367="","",IFERROR(XLOOKUP(B367,'Locales'!$A$2:$A$200,'Locales'!$B$2:$B$200),"Codigo no encontrado"))</x:f>
      </x:c>
      <x:c r="D367" s="8"/>
      <x:c r="E367" s="8"/>
      <x:c r="F367" s="8"/>
      <x:c r="G367" s="8"/>
      <x:c r="H367" s="8" t="str">
        <x:f>IF(COUNTA(D367:G367)=0,"",D367-E367-F367-G367)</x:f>
      </x:c>
      <x:c r="I367" s="5" t="str">
        <x:f>IF(H367="","Sin datos",IF(H367&lt;='Parametros'!$B$3,"Cumple","No cumple"))</x:f>
        <x:v>Sin datos</x:v>
      </x:c>
    </x:row>
    <x:row r="368">
      <x:c r="A368" s="5"/>
      <x:c r="B368" s="7"/>
      <x:c r="C368" s="5" t="str">
        <x:f>IF(B368="","",IFERROR(XLOOKUP(B368,'Locales'!$A$2:$A$200,'Locales'!$B$2:$B$200),"Codigo no encontrado"))</x:f>
      </x:c>
      <x:c r="D368" s="8"/>
      <x:c r="E368" s="8"/>
      <x:c r="F368" s="8"/>
      <x:c r="G368" s="8"/>
      <x:c r="H368" s="8" t="str">
        <x:f>IF(COUNTA(D368:G368)=0,"",D368-E368-F368-G368)</x:f>
      </x:c>
      <x:c r="I368" s="5" t="str">
        <x:f>IF(H368="","Sin datos",IF(H368&lt;='Parametros'!$B$3,"Cumple","No cumple"))</x:f>
        <x:v>Sin datos</x:v>
      </x:c>
    </x:row>
    <x:row r="369">
      <x:c r="A369" s="5"/>
      <x:c r="B369" s="7"/>
      <x:c r="C369" s="5" t="str">
        <x:f>IF(B369="","",IFERROR(XLOOKUP(B369,'Locales'!$A$2:$A$200,'Locales'!$B$2:$B$200),"Codigo no encontrado"))</x:f>
      </x:c>
      <x:c r="D369" s="8"/>
      <x:c r="E369" s="8"/>
      <x:c r="F369" s="8"/>
      <x:c r="G369" s="8"/>
      <x:c r="H369" s="8" t="str">
        <x:f>IF(COUNTA(D369:G369)=0,"",D369-E369-F369-G369)</x:f>
      </x:c>
      <x:c r="I369" s="5" t="str">
        <x:f>IF(H369="","Sin datos",IF(H369&lt;='Parametros'!$B$3,"Cumple","No cumple"))</x:f>
        <x:v>Sin datos</x:v>
      </x:c>
    </x:row>
    <x:row r="370">
      <x:c r="A370" s="5"/>
      <x:c r="B370" s="7"/>
      <x:c r="C370" s="5" t="str">
        <x:f>IF(B370="","",IFERROR(XLOOKUP(B370,'Locales'!$A$2:$A$200,'Locales'!$B$2:$B$200),"Codigo no encontrado"))</x:f>
      </x:c>
      <x:c r="D370" s="8"/>
      <x:c r="E370" s="8"/>
      <x:c r="F370" s="8"/>
      <x:c r="G370" s="8"/>
      <x:c r="H370" s="8" t="str">
        <x:f>IF(COUNTA(D370:G370)=0,"",D370-E370-F370-G370)</x:f>
      </x:c>
      <x:c r="I370" s="5" t="str">
        <x:f>IF(H370="","Sin datos",IF(H370&lt;='Parametros'!$B$3,"Cumple","No cumple"))</x:f>
        <x:v>Sin datos</x:v>
      </x:c>
    </x:row>
    <x:row r="371">
      <x:c r="A371" s="5"/>
      <x:c r="B371" s="7"/>
      <x:c r="C371" s="5" t="str">
        <x:f>IF(B371="","",IFERROR(XLOOKUP(B371,'Locales'!$A$2:$A$200,'Locales'!$B$2:$B$200),"Codigo no encontrado"))</x:f>
      </x:c>
      <x:c r="D371" s="8"/>
      <x:c r="E371" s="8"/>
      <x:c r="F371" s="8"/>
      <x:c r="G371" s="8"/>
      <x:c r="H371" s="8" t="str">
        <x:f>IF(COUNTA(D371:G371)=0,"",D371-E371-F371-G371)</x:f>
      </x:c>
      <x:c r="I371" s="5" t="str">
        <x:f>IF(H371="","Sin datos",IF(H371&lt;='Parametros'!$B$3,"Cumple","No cumple"))</x:f>
        <x:v>Sin datos</x:v>
      </x:c>
    </x:row>
    <x:row r="372">
      <x:c r="A372" s="5"/>
      <x:c r="B372" s="7"/>
      <x:c r="C372" s="5" t="str">
        <x:f>IF(B372="","",IFERROR(XLOOKUP(B372,'Locales'!$A$2:$A$200,'Locales'!$B$2:$B$200),"Codigo no encontrado"))</x:f>
      </x:c>
      <x:c r="D372" s="8"/>
      <x:c r="E372" s="8"/>
      <x:c r="F372" s="8"/>
      <x:c r="G372" s="8"/>
      <x:c r="H372" s="8" t="str">
        <x:f>IF(COUNTA(D372:G372)=0,"",D372-E372-F372-G372)</x:f>
      </x:c>
      <x:c r="I372" s="5" t="str">
        <x:f>IF(H372="","Sin datos",IF(H372&lt;='Parametros'!$B$3,"Cumple","No cumple"))</x:f>
        <x:v>Sin datos</x:v>
      </x:c>
    </x:row>
    <x:row r="373">
      <x:c r="A373" s="5"/>
      <x:c r="B373" s="7"/>
      <x:c r="C373" s="5" t="str">
        <x:f>IF(B373="","",IFERROR(XLOOKUP(B373,'Locales'!$A$2:$A$200,'Locales'!$B$2:$B$200),"Codigo no encontrado"))</x:f>
      </x:c>
      <x:c r="D373" s="8"/>
      <x:c r="E373" s="8"/>
      <x:c r="F373" s="8"/>
      <x:c r="G373" s="8"/>
      <x:c r="H373" s="8" t="str">
        <x:f>IF(COUNTA(D373:G373)=0,"",D373-E373-F373-G373)</x:f>
      </x:c>
      <x:c r="I373" s="5" t="str">
        <x:f>IF(H373="","Sin datos",IF(H373&lt;='Parametros'!$B$3,"Cumple","No cumple"))</x:f>
        <x:v>Sin datos</x:v>
      </x:c>
    </x:row>
    <x:row r="374">
      <x:c r="A374" s="5"/>
      <x:c r="B374" s="7"/>
      <x:c r="C374" s="5" t="str">
        <x:f>IF(B374="","",IFERROR(XLOOKUP(B374,'Locales'!$A$2:$A$200,'Locales'!$B$2:$B$200),"Codigo no encontrado"))</x:f>
      </x:c>
      <x:c r="D374" s="8"/>
      <x:c r="E374" s="8"/>
      <x:c r="F374" s="8"/>
      <x:c r="G374" s="8"/>
      <x:c r="H374" s="8" t="str">
        <x:f>IF(COUNTA(D374:G374)=0,"",D374-E374-F374-G374)</x:f>
      </x:c>
      <x:c r="I374" s="5" t="str">
        <x:f>IF(H374="","Sin datos",IF(H374&lt;='Parametros'!$B$3,"Cumple","No cumple"))</x:f>
        <x:v>Sin datos</x:v>
      </x:c>
    </x:row>
    <x:row r="375">
      <x:c r="A375" s="5"/>
      <x:c r="B375" s="7"/>
      <x:c r="C375" s="5" t="str">
        <x:f>IF(B375="","",IFERROR(XLOOKUP(B375,'Locales'!$A$2:$A$200,'Locales'!$B$2:$B$200),"Codigo no encontrado"))</x:f>
      </x:c>
      <x:c r="D375" s="8"/>
      <x:c r="E375" s="8"/>
      <x:c r="F375" s="8"/>
      <x:c r="G375" s="8"/>
      <x:c r="H375" s="8" t="str">
        <x:f>IF(COUNTA(D375:G375)=0,"",D375-E375-F375-G375)</x:f>
      </x:c>
      <x:c r="I375" s="5" t="str">
        <x:f>IF(H375="","Sin datos",IF(H375&lt;='Parametros'!$B$3,"Cumple","No cumple"))</x:f>
        <x:v>Sin datos</x:v>
      </x:c>
    </x:row>
    <x:row r="376">
      <x:c r="A376" s="5"/>
      <x:c r="B376" s="7"/>
      <x:c r="C376" s="5" t="str">
        <x:f>IF(B376="","",IFERROR(XLOOKUP(B376,'Locales'!$A$2:$A$200,'Locales'!$B$2:$B$200),"Codigo no encontrado"))</x:f>
      </x:c>
      <x:c r="D376" s="8"/>
      <x:c r="E376" s="8"/>
      <x:c r="F376" s="8"/>
      <x:c r="G376" s="8"/>
      <x:c r="H376" s="8" t="str">
        <x:f>IF(COUNTA(D376:G376)=0,"",D376-E376-F376-G376)</x:f>
      </x:c>
      <x:c r="I376" s="5" t="str">
        <x:f>IF(H376="","Sin datos",IF(H376&lt;='Parametros'!$B$3,"Cumple","No cumple"))</x:f>
        <x:v>Sin datos</x:v>
      </x:c>
    </x:row>
    <x:row r="377">
      <x:c r="A377" s="5"/>
      <x:c r="B377" s="7"/>
      <x:c r="C377" s="5" t="str">
        <x:f>IF(B377="","",IFERROR(XLOOKUP(B377,'Locales'!$A$2:$A$200,'Locales'!$B$2:$B$200),"Codigo no encontrado"))</x:f>
      </x:c>
      <x:c r="D377" s="8"/>
      <x:c r="E377" s="8"/>
      <x:c r="F377" s="8"/>
      <x:c r="G377" s="8"/>
      <x:c r="H377" s="8" t="str">
        <x:f>IF(COUNTA(D377:G377)=0,"",D377-E377-F377-G377)</x:f>
      </x:c>
      <x:c r="I377" s="5" t="str">
        <x:f>IF(H377="","Sin datos",IF(H377&lt;='Parametros'!$B$3,"Cumple","No cumple"))</x:f>
        <x:v>Sin datos</x:v>
      </x:c>
    </x:row>
    <x:row r="378">
      <x:c r="A378" s="5"/>
      <x:c r="B378" s="7"/>
      <x:c r="C378" s="5" t="str">
        <x:f>IF(B378="","",IFERROR(XLOOKUP(B378,'Locales'!$A$2:$A$200,'Locales'!$B$2:$B$200),"Codigo no encontrado"))</x:f>
      </x:c>
      <x:c r="D378" s="8"/>
      <x:c r="E378" s="8"/>
      <x:c r="F378" s="8"/>
      <x:c r="G378" s="8"/>
      <x:c r="H378" s="8" t="str">
        <x:f>IF(COUNTA(D378:G378)=0,"",D378-E378-F378-G378)</x:f>
      </x:c>
      <x:c r="I378" s="5" t="str">
        <x:f>IF(H378="","Sin datos",IF(H378&lt;='Parametros'!$B$3,"Cumple","No cumple"))</x:f>
        <x:v>Sin datos</x:v>
      </x:c>
    </x:row>
    <x:row r="379">
      <x:c r="A379" s="5"/>
      <x:c r="B379" s="7"/>
      <x:c r="C379" s="5" t="str">
        <x:f>IF(B379="","",IFERROR(XLOOKUP(B379,'Locales'!$A$2:$A$200,'Locales'!$B$2:$B$200),"Codigo no encontrado"))</x:f>
      </x:c>
      <x:c r="D379" s="8"/>
      <x:c r="E379" s="8"/>
      <x:c r="F379" s="8"/>
      <x:c r="G379" s="8"/>
      <x:c r="H379" s="8" t="str">
        <x:f>IF(COUNTA(D379:G379)=0,"",D379-E379-F379-G379)</x:f>
      </x:c>
      <x:c r="I379" s="5" t="str">
        <x:f>IF(H379="","Sin datos",IF(H379&lt;='Parametros'!$B$3,"Cumple","No cumple"))</x:f>
        <x:v>Sin datos</x:v>
      </x:c>
    </x:row>
    <x:row r="380">
      <x:c r="A380" s="5"/>
      <x:c r="B380" s="7"/>
      <x:c r="C380" s="5" t="str">
        <x:f>IF(B380="","",IFERROR(XLOOKUP(B380,'Locales'!$A$2:$A$200,'Locales'!$B$2:$B$200),"Codigo no encontrado"))</x:f>
      </x:c>
      <x:c r="D380" s="8"/>
      <x:c r="E380" s="8"/>
      <x:c r="F380" s="8"/>
      <x:c r="G380" s="8"/>
      <x:c r="H380" s="8" t="str">
        <x:f>IF(COUNTA(D380:G380)=0,"",D380-E380-F380-G380)</x:f>
      </x:c>
      <x:c r="I380" s="5" t="str">
        <x:f>IF(H380="","Sin datos",IF(H380&lt;='Parametros'!$B$3,"Cumple","No cumple"))</x:f>
        <x:v>Sin datos</x:v>
      </x:c>
    </x:row>
    <x:row r="381">
      <x:c r="A381" s="5"/>
      <x:c r="B381" s="7"/>
      <x:c r="C381" s="5" t="str">
        <x:f>IF(B381="","",IFERROR(XLOOKUP(B381,'Locales'!$A$2:$A$200,'Locales'!$B$2:$B$200),"Codigo no encontrado"))</x:f>
      </x:c>
      <x:c r="D381" s="8"/>
      <x:c r="E381" s="8"/>
      <x:c r="F381" s="8"/>
      <x:c r="G381" s="8"/>
      <x:c r="H381" s="8" t="str">
        <x:f>IF(COUNTA(D381:G381)=0,"",D381-E381-F381-G381)</x:f>
      </x:c>
      <x:c r="I381" s="5" t="str">
        <x:f>IF(H381="","Sin datos",IF(H381&lt;='Parametros'!$B$3,"Cumple","No cumple"))</x:f>
        <x:v>Sin datos</x:v>
      </x:c>
    </x:row>
    <x:row r="382">
      <x:c r="A382" s="5"/>
      <x:c r="B382" s="7"/>
      <x:c r="C382" s="5" t="str">
        <x:f>IF(B382="","",IFERROR(XLOOKUP(B382,'Locales'!$A$2:$A$200,'Locales'!$B$2:$B$200),"Codigo no encontrado"))</x:f>
      </x:c>
      <x:c r="D382" s="8"/>
      <x:c r="E382" s="8"/>
      <x:c r="F382" s="8"/>
      <x:c r="G382" s="8"/>
      <x:c r="H382" s="8" t="str">
        <x:f>IF(COUNTA(D382:G382)=0,"",D382-E382-F382-G382)</x:f>
      </x:c>
      <x:c r="I382" s="5" t="str">
        <x:f>IF(H382="","Sin datos",IF(H382&lt;='Parametros'!$B$3,"Cumple","No cumple"))</x:f>
        <x:v>Sin datos</x:v>
      </x:c>
    </x:row>
    <x:row r="383">
      <x:c r="A383" s="5"/>
      <x:c r="B383" s="7"/>
      <x:c r="C383" s="5" t="str">
        <x:f>IF(B383="","",IFERROR(XLOOKUP(B383,'Locales'!$A$2:$A$200,'Locales'!$B$2:$B$200),"Codigo no encontrado"))</x:f>
      </x:c>
      <x:c r="D383" s="8"/>
      <x:c r="E383" s="8"/>
      <x:c r="F383" s="8"/>
      <x:c r="G383" s="8"/>
      <x:c r="H383" s="8" t="str">
        <x:f>IF(COUNTA(D383:G383)=0,"",D383-E383-F383-G383)</x:f>
      </x:c>
      <x:c r="I383" s="5" t="str">
        <x:f>IF(H383="","Sin datos",IF(H383&lt;='Parametros'!$B$3,"Cumple","No cumple"))</x:f>
        <x:v>Sin datos</x:v>
      </x:c>
    </x:row>
    <x:row r="384">
      <x:c r="A384" s="5"/>
      <x:c r="B384" s="7"/>
      <x:c r="C384" s="5" t="str">
        <x:f>IF(B384="","",IFERROR(XLOOKUP(B384,'Locales'!$A$2:$A$200,'Locales'!$B$2:$B$200),"Codigo no encontrado"))</x:f>
      </x:c>
      <x:c r="D384" s="8"/>
      <x:c r="E384" s="8"/>
      <x:c r="F384" s="8"/>
      <x:c r="G384" s="8"/>
      <x:c r="H384" s="8" t="str">
        <x:f>IF(COUNTA(D384:G384)=0,"",D384-E384-F384-G384)</x:f>
      </x:c>
      <x:c r="I384" s="5" t="str">
        <x:f>IF(H384="","Sin datos",IF(H384&lt;='Parametros'!$B$3,"Cumple","No cumple"))</x:f>
        <x:v>Sin datos</x:v>
      </x:c>
    </x:row>
    <x:row r="385">
      <x:c r="A385" s="5"/>
      <x:c r="B385" s="7"/>
      <x:c r="C385" s="5" t="str">
        <x:f>IF(B385="","",IFERROR(XLOOKUP(B385,'Locales'!$A$2:$A$200,'Locales'!$B$2:$B$200),"Codigo no encontrado"))</x:f>
      </x:c>
      <x:c r="D385" s="8"/>
      <x:c r="E385" s="8"/>
      <x:c r="F385" s="8"/>
      <x:c r="G385" s="8"/>
      <x:c r="H385" s="8" t="str">
        <x:f>IF(COUNTA(D385:G385)=0,"",D385-E385-F385-G385)</x:f>
      </x:c>
      <x:c r="I385" s="5" t="str">
        <x:f>IF(H385="","Sin datos",IF(H385&lt;='Parametros'!$B$3,"Cumple","No cumple"))</x:f>
        <x:v>Sin datos</x:v>
      </x:c>
    </x:row>
    <x:row r="386">
      <x:c r="A386" s="5"/>
      <x:c r="B386" s="7"/>
      <x:c r="C386" s="5" t="str">
        <x:f>IF(B386="","",IFERROR(XLOOKUP(B386,'Locales'!$A$2:$A$200,'Locales'!$B$2:$B$200),"Codigo no encontrado"))</x:f>
      </x:c>
      <x:c r="D386" s="8"/>
      <x:c r="E386" s="8"/>
      <x:c r="F386" s="8"/>
      <x:c r="G386" s="8"/>
      <x:c r="H386" s="8" t="str">
        <x:f>IF(COUNTA(D386:G386)=0,"",D386-E386-F386-G386)</x:f>
      </x:c>
      <x:c r="I386" s="5" t="str">
        <x:f>IF(H386="","Sin datos",IF(H386&lt;='Parametros'!$B$3,"Cumple","No cumple"))</x:f>
        <x:v>Sin datos</x:v>
      </x:c>
    </x:row>
    <x:row r="387">
      <x:c r="A387" s="5"/>
      <x:c r="B387" s="7"/>
      <x:c r="C387" s="5" t="str">
        <x:f>IF(B387="","",IFERROR(XLOOKUP(B387,'Locales'!$A$2:$A$200,'Locales'!$B$2:$B$200),"Codigo no encontrado"))</x:f>
      </x:c>
      <x:c r="D387" s="8"/>
      <x:c r="E387" s="8"/>
      <x:c r="F387" s="8"/>
      <x:c r="G387" s="8"/>
      <x:c r="H387" s="8" t="str">
        <x:f>IF(COUNTA(D387:G387)=0,"",D387-E387-F387-G387)</x:f>
      </x:c>
      <x:c r="I387" s="5" t="str">
        <x:f>IF(H387="","Sin datos",IF(H387&lt;='Parametros'!$B$3,"Cumple","No cumple"))</x:f>
        <x:v>Sin datos</x:v>
      </x:c>
    </x:row>
    <x:row r="388">
      <x:c r="A388" s="5"/>
      <x:c r="B388" s="7"/>
      <x:c r="C388" s="5" t="str">
        <x:f>IF(B388="","",IFERROR(XLOOKUP(B388,'Locales'!$A$2:$A$200,'Locales'!$B$2:$B$200),"Codigo no encontrado"))</x:f>
      </x:c>
      <x:c r="D388" s="8"/>
      <x:c r="E388" s="8"/>
      <x:c r="F388" s="8"/>
      <x:c r="G388" s="8"/>
      <x:c r="H388" s="8" t="str">
        <x:f>IF(COUNTA(D388:G388)=0,"",D388-E388-F388-G388)</x:f>
      </x:c>
      <x:c r="I388" s="5" t="str">
        <x:f>IF(H388="","Sin datos",IF(H388&lt;='Parametros'!$B$3,"Cumple","No cumple"))</x:f>
        <x:v>Sin datos</x:v>
      </x:c>
    </x:row>
    <x:row r="389">
      <x:c r="A389" s="5"/>
      <x:c r="B389" s="7"/>
      <x:c r="C389" s="5" t="str">
        <x:f>IF(B389="","",IFERROR(XLOOKUP(B389,'Locales'!$A$2:$A$200,'Locales'!$B$2:$B$200),"Codigo no encontrado"))</x:f>
      </x:c>
      <x:c r="D389" s="8"/>
      <x:c r="E389" s="8"/>
      <x:c r="F389" s="8"/>
      <x:c r="G389" s="8"/>
      <x:c r="H389" s="8" t="str">
        <x:f>IF(COUNTA(D389:G389)=0,"",D389-E389-F389-G389)</x:f>
      </x:c>
      <x:c r="I389" s="5" t="str">
        <x:f>IF(H389="","Sin datos",IF(H389&lt;='Parametros'!$B$3,"Cumple","No cumple"))</x:f>
        <x:v>Sin datos</x:v>
      </x:c>
    </x:row>
    <x:row r="390">
      <x:c r="A390" s="5"/>
      <x:c r="B390" s="7"/>
      <x:c r="C390" s="5" t="str">
        <x:f>IF(B390="","",IFERROR(XLOOKUP(B390,'Locales'!$A$2:$A$200,'Locales'!$B$2:$B$200),"Codigo no encontrado"))</x:f>
      </x:c>
      <x:c r="D390" s="8"/>
      <x:c r="E390" s="8"/>
      <x:c r="F390" s="8"/>
      <x:c r="G390" s="8"/>
      <x:c r="H390" s="8" t="str">
        <x:f>IF(COUNTA(D390:G390)=0,"",D390-E390-F390-G390)</x:f>
      </x:c>
      <x:c r="I390" s="5" t="str">
        <x:f>IF(H390="","Sin datos",IF(H390&lt;='Parametros'!$B$3,"Cumple","No cumple"))</x:f>
        <x:v>Sin datos</x:v>
      </x:c>
    </x:row>
    <x:row r="391">
      <x:c r="A391" s="5"/>
      <x:c r="B391" s="7"/>
      <x:c r="C391" s="5" t="str">
        <x:f>IF(B391="","",IFERROR(XLOOKUP(B391,'Locales'!$A$2:$A$200,'Locales'!$B$2:$B$200),"Codigo no encontrado"))</x:f>
      </x:c>
      <x:c r="D391" s="8"/>
      <x:c r="E391" s="8"/>
      <x:c r="F391" s="8"/>
      <x:c r="G391" s="8"/>
      <x:c r="H391" s="8" t="str">
        <x:f>IF(COUNTA(D391:G391)=0,"",D391-E391-F391-G391)</x:f>
      </x:c>
      <x:c r="I391" s="5" t="str">
        <x:f>IF(H391="","Sin datos",IF(H391&lt;='Parametros'!$B$3,"Cumple","No cumple"))</x:f>
        <x:v>Sin datos</x:v>
      </x:c>
    </x:row>
    <x:row r="392">
      <x:c r="A392" s="5"/>
      <x:c r="B392" s="7"/>
      <x:c r="C392" s="5" t="str">
        <x:f>IF(B392="","",IFERROR(XLOOKUP(B392,'Locales'!$A$2:$A$200,'Locales'!$B$2:$B$200),"Codigo no encontrado"))</x:f>
      </x:c>
      <x:c r="D392" s="8"/>
      <x:c r="E392" s="8"/>
      <x:c r="F392" s="8"/>
      <x:c r="G392" s="8"/>
      <x:c r="H392" s="8" t="str">
        <x:f>IF(COUNTA(D392:G392)=0,"",D392-E392-F392-G392)</x:f>
      </x:c>
      <x:c r="I392" s="5" t="str">
        <x:f>IF(H392="","Sin datos",IF(H392&lt;='Parametros'!$B$3,"Cumple","No cumple"))</x:f>
        <x:v>Sin datos</x:v>
      </x:c>
    </x:row>
    <x:row r="393">
      <x:c r="A393" s="5"/>
      <x:c r="B393" s="7"/>
      <x:c r="C393" s="5" t="str">
        <x:f>IF(B393="","",IFERROR(XLOOKUP(B393,'Locales'!$A$2:$A$200,'Locales'!$B$2:$B$200),"Codigo no encontrado"))</x:f>
      </x:c>
      <x:c r="D393" s="8"/>
      <x:c r="E393" s="8"/>
      <x:c r="F393" s="8"/>
      <x:c r="G393" s="8"/>
      <x:c r="H393" s="8" t="str">
        <x:f>IF(COUNTA(D393:G393)=0,"",D393-E393-F393-G393)</x:f>
      </x:c>
      <x:c r="I393" s="5" t="str">
        <x:f>IF(H393="","Sin datos",IF(H393&lt;='Parametros'!$B$3,"Cumple","No cumple"))</x:f>
        <x:v>Sin datos</x:v>
      </x:c>
    </x:row>
    <x:row r="394">
      <x:c r="A394" s="5"/>
      <x:c r="B394" s="7"/>
      <x:c r="C394" s="5" t="str">
        <x:f>IF(B394="","",IFERROR(XLOOKUP(B394,'Locales'!$A$2:$A$200,'Locales'!$B$2:$B$200),"Codigo no encontrado"))</x:f>
      </x:c>
      <x:c r="D394" s="8"/>
      <x:c r="E394" s="8"/>
      <x:c r="F394" s="8"/>
      <x:c r="G394" s="8"/>
      <x:c r="H394" s="8" t="str">
        <x:f>IF(COUNTA(D394:G394)=0,"",D394-E394-F394-G394)</x:f>
      </x:c>
      <x:c r="I394" s="5" t="str">
        <x:f>IF(H394="","Sin datos",IF(H394&lt;='Parametros'!$B$3,"Cumple","No cumple"))</x:f>
        <x:v>Sin datos</x:v>
      </x:c>
    </x:row>
    <x:row r="395">
      <x:c r="A395" s="5"/>
      <x:c r="B395" s="7"/>
      <x:c r="C395" s="5" t="str">
        <x:f>IF(B395="","",IFERROR(XLOOKUP(B395,'Locales'!$A$2:$A$200,'Locales'!$B$2:$B$200),"Codigo no encontrado"))</x:f>
      </x:c>
      <x:c r="D395" s="8"/>
      <x:c r="E395" s="8"/>
      <x:c r="F395" s="8"/>
      <x:c r="G395" s="8"/>
      <x:c r="H395" s="8" t="str">
        <x:f>IF(COUNTA(D395:G395)=0,"",D395-E395-F395-G395)</x:f>
      </x:c>
      <x:c r="I395" s="5" t="str">
        <x:f>IF(H395="","Sin datos",IF(H395&lt;='Parametros'!$B$3,"Cumple","No cumple"))</x:f>
        <x:v>Sin datos</x:v>
      </x:c>
    </x:row>
    <x:row r="396">
      <x:c r="A396" s="5"/>
      <x:c r="B396" s="7"/>
      <x:c r="C396" s="5" t="str">
        <x:f>IF(B396="","",IFERROR(XLOOKUP(B396,'Locales'!$A$2:$A$200,'Locales'!$B$2:$B$200),"Codigo no encontrado"))</x:f>
      </x:c>
      <x:c r="D396" s="8"/>
      <x:c r="E396" s="8"/>
      <x:c r="F396" s="8"/>
      <x:c r="G396" s="8"/>
      <x:c r="H396" s="8" t="str">
        <x:f>IF(COUNTA(D396:G396)=0,"",D396-E396-F396-G396)</x:f>
      </x:c>
      <x:c r="I396" s="5" t="str">
        <x:f>IF(H396="","Sin datos",IF(H396&lt;='Parametros'!$B$3,"Cumple","No cumple"))</x:f>
        <x:v>Sin datos</x:v>
      </x:c>
    </x:row>
    <x:row r="397">
      <x:c r="A397" s="5"/>
      <x:c r="B397" s="7"/>
      <x:c r="C397" s="5" t="str">
        <x:f>IF(B397="","",IFERROR(XLOOKUP(B397,'Locales'!$A$2:$A$200,'Locales'!$B$2:$B$200),"Codigo no encontrado"))</x:f>
      </x:c>
      <x:c r="D397" s="8"/>
      <x:c r="E397" s="8"/>
      <x:c r="F397" s="8"/>
      <x:c r="G397" s="8"/>
      <x:c r="H397" s="8" t="str">
        <x:f>IF(COUNTA(D397:G397)=0,"",D397-E397-F397-G397)</x:f>
      </x:c>
      <x:c r="I397" s="5" t="str">
        <x:f>IF(H397="","Sin datos",IF(H397&lt;='Parametros'!$B$3,"Cumple","No cumple"))</x:f>
        <x:v>Sin datos</x:v>
      </x:c>
    </x:row>
    <x:row r="398">
      <x:c r="A398" s="5"/>
      <x:c r="B398" s="7"/>
      <x:c r="C398" s="5" t="str">
        <x:f>IF(B398="","",IFERROR(XLOOKUP(B398,'Locales'!$A$2:$A$200,'Locales'!$B$2:$B$200),"Codigo no encontrado"))</x:f>
      </x:c>
      <x:c r="D398" s="8"/>
      <x:c r="E398" s="8"/>
      <x:c r="F398" s="8"/>
      <x:c r="G398" s="8"/>
      <x:c r="H398" s="8" t="str">
        <x:f>IF(COUNTA(D398:G398)=0,"",D398-E398-F398-G398)</x:f>
      </x:c>
      <x:c r="I398" s="5" t="str">
        <x:f>IF(H398="","Sin datos",IF(H398&lt;='Parametros'!$B$3,"Cumple","No cumple"))</x:f>
        <x:v>Sin datos</x:v>
      </x:c>
    </x:row>
    <x:row r="399">
      <x:c r="A399" s="5"/>
      <x:c r="B399" s="7"/>
      <x:c r="C399" s="5" t="str">
        <x:f>IF(B399="","",IFERROR(XLOOKUP(B399,'Locales'!$A$2:$A$200,'Locales'!$B$2:$B$200),"Codigo no encontrado"))</x:f>
      </x:c>
      <x:c r="D399" s="8"/>
      <x:c r="E399" s="8"/>
      <x:c r="F399" s="8"/>
      <x:c r="G399" s="8"/>
      <x:c r="H399" s="8" t="str">
        <x:f>IF(COUNTA(D399:G399)=0,"",D399-E399-F399-G399)</x:f>
      </x:c>
      <x:c r="I399" s="5" t="str">
        <x:f>IF(H399="","Sin datos",IF(H399&lt;='Parametros'!$B$3,"Cumple","No cumple"))</x:f>
        <x:v>Sin datos</x:v>
      </x:c>
    </x:row>
    <x:row r="400">
      <x:c r="A400" s="5"/>
      <x:c r="B400" s="7"/>
      <x:c r="C400" s="5" t="str">
        <x:f>IF(B400="","",IFERROR(XLOOKUP(B400,'Locales'!$A$2:$A$200,'Locales'!$B$2:$B$200),"Codigo no encontrado"))</x:f>
      </x:c>
      <x:c r="D400" s="8"/>
      <x:c r="E400" s="8"/>
      <x:c r="F400" s="8"/>
      <x:c r="G400" s="8"/>
      <x:c r="H400" s="8" t="str">
        <x:f>IF(COUNTA(D400:G400)=0,"",D400-E400-F400-G400)</x:f>
      </x:c>
      <x:c r="I400" s="5" t="str">
        <x:f>IF(H400="","Sin datos",IF(H400&lt;='Parametros'!$B$3,"Cumple","No cumple"))</x:f>
        <x:v>Sin datos</x:v>
      </x:c>
    </x:row>
    <x:row r="401">
      <x:c r="A401" s="5"/>
      <x:c r="B401" s="7"/>
      <x:c r="C401" s="5" t="str">
        <x:f>IF(B401="","",IFERROR(XLOOKUP(B401,'Locales'!$A$2:$A$200,'Locales'!$B$2:$B$200),"Codigo no encontrado"))</x:f>
      </x:c>
      <x:c r="D401" s="8"/>
      <x:c r="E401" s="8"/>
      <x:c r="F401" s="8"/>
      <x:c r="G401" s="8"/>
      <x:c r="H401" s="8" t="str">
        <x:f>IF(COUNTA(D401:G401)=0,"",D401-E401-F401-G401)</x:f>
      </x:c>
      <x:c r="I401" s="5" t="str">
        <x:f>IF(H401="","Sin datos",IF(H401&lt;='Parametros'!$B$3,"Cumple","No cumple"))</x:f>
        <x:v>Sin datos</x:v>
      </x:c>
    </x:row>
    <x:row r="402">
      <x:c r="A402" s="5"/>
      <x:c r="B402" s="7"/>
      <x:c r="C402" s="5" t="str">
        <x:f>IF(B402="","",IFERROR(XLOOKUP(B402,'Locales'!$A$2:$A$200,'Locales'!$B$2:$B$200),"Codigo no encontrado"))</x:f>
      </x:c>
      <x:c r="D402" s="8"/>
      <x:c r="E402" s="8"/>
      <x:c r="F402" s="8"/>
      <x:c r="G402" s="8"/>
      <x:c r="H402" s="8" t="str">
        <x:f>IF(COUNTA(D402:G402)=0,"",D402-E402-F402-G402)</x:f>
      </x:c>
      <x:c r="I402" s="5" t="str">
        <x:f>IF(H402="","Sin datos",IF(H402&lt;='Parametros'!$B$3,"Cumple","No cumple"))</x:f>
        <x:v>Sin datos</x:v>
      </x:c>
    </x:row>
    <x:row r="403">
      <x:c r="A403" s="5"/>
      <x:c r="B403" s="7"/>
      <x:c r="C403" s="5" t="str">
        <x:f>IF(B403="","",IFERROR(XLOOKUP(B403,'Locales'!$A$2:$A$200,'Locales'!$B$2:$B$200),"Codigo no encontrado"))</x:f>
      </x:c>
      <x:c r="D403" s="8"/>
      <x:c r="E403" s="8"/>
      <x:c r="F403" s="8"/>
      <x:c r="G403" s="8"/>
      <x:c r="H403" s="8" t="str">
        <x:f>IF(COUNTA(D403:G403)=0,"",D403-E403-F403-G403)</x:f>
      </x:c>
      <x:c r="I403" s="5" t="str">
        <x:f>IF(H403="","Sin datos",IF(H403&lt;='Parametros'!$B$3,"Cumple","No cumple"))</x:f>
        <x:v>Sin datos</x:v>
      </x:c>
    </x:row>
    <x:row r="404">
      <x:c r="A404" s="5"/>
      <x:c r="B404" s="7"/>
      <x:c r="C404" s="5" t="str">
        <x:f>IF(B404="","",IFERROR(XLOOKUP(B404,'Locales'!$A$2:$A$200,'Locales'!$B$2:$B$200),"Codigo no encontrado"))</x:f>
      </x:c>
      <x:c r="D404" s="8"/>
      <x:c r="E404" s="8"/>
      <x:c r="F404" s="8"/>
      <x:c r="G404" s="8"/>
      <x:c r="H404" s="8" t="str">
        <x:f>IF(COUNTA(D404:G404)=0,"",D404-E404-F404-G404)</x:f>
      </x:c>
      <x:c r="I404" s="5" t="str">
        <x:f>IF(H404="","Sin datos",IF(H404&lt;='Parametros'!$B$3,"Cumple","No cumple"))</x:f>
        <x:v>Sin datos</x:v>
      </x:c>
    </x:row>
    <x:row r="405">
      <x:c r="A405" s="5"/>
      <x:c r="B405" s="7"/>
      <x:c r="C405" s="5" t="str">
        <x:f>IF(B405="","",IFERROR(XLOOKUP(B405,'Locales'!$A$2:$A$200,'Locales'!$B$2:$B$200),"Codigo no encontrado"))</x:f>
      </x:c>
      <x:c r="D405" s="8"/>
      <x:c r="E405" s="8"/>
      <x:c r="F405" s="8"/>
      <x:c r="G405" s="8"/>
      <x:c r="H405" s="8" t="str">
        <x:f>IF(COUNTA(D405:G405)=0,"",D405-E405-F405-G405)</x:f>
      </x:c>
      <x:c r="I405" s="5" t="str">
        <x:f>IF(H405="","Sin datos",IF(H405&lt;='Parametros'!$B$3,"Cumple","No cumple"))</x:f>
        <x:v>Sin datos</x:v>
      </x:c>
    </x:row>
    <x:row r="406">
      <x:c r="A406" s="5"/>
      <x:c r="B406" s="7"/>
      <x:c r="C406" s="5" t="str">
        <x:f>IF(B406="","",IFERROR(XLOOKUP(B406,'Locales'!$A$2:$A$200,'Locales'!$B$2:$B$200),"Codigo no encontrado"))</x:f>
      </x:c>
      <x:c r="D406" s="8"/>
      <x:c r="E406" s="8"/>
      <x:c r="F406" s="8"/>
      <x:c r="G406" s="8"/>
      <x:c r="H406" s="8" t="str">
        <x:f>IF(COUNTA(D406:G406)=0,"",D406-E406-F406-G406)</x:f>
      </x:c>
      <x:c r="I406" s="5" t="str">
        <x:f>IF(H406="","Sin datos",IF(H406&lt;='Parametros'!$B$3,"Cumple","No cumple"))</x:f>
        <x:v>Sin datos</x:v>
      </x:c>
    </x:row>
    <x:row r="407">
      <x:c r="A407" s="5"/>
      <x:c r="B407" s="7"/>
      <x:c r="C407" s="5" t="str">
        <x:f>IF(B407="","",IFERROR(XLOOKUP(B407,'Locales'!$A$2:$A$200,'Locales'!$B$2:$B$200),"Codigo no encontrado"))</x:f>
      </x:c>
      <x:c r="D407" s="8"/>
      <x:c r="E407" s="8"/>
      <x:c r="F407" s="8"/>
      <x:c r="G407" s="8"/>
      <x:c r="H407" s="8" t="str">
        <x:f>IF(COUNTA(D407:G407)=0,"",D407-E407-F407-G407)</x:f>
      </x:c>
      <x:c r="I407" s="5" t="str">
        <x:f>IF(H407="","Sin datos",IF(H407&lt;='Parametros'!$B$3,"Cumple","No cumple"))</x:f>
        <x:v>Sin datos</x:v>
      </x:c>
    </x:row>
    <x:row r="408">
      <x:c r="A408" s="5"/>
      <x:c r="B408" s="7"/>
      <x:c r="C408" s="5" t="str">
        <x:f>IF(B408="","",IFERROR(XLOOKUP(B408,'Locales'!$A$2:$A$200,'Locales'!$B$2:$B$200),"Codigo no encontrado"))</x:f>
      </x:c>
      <x:c r="D408" s="8"/>
      <x:c r="E408" s="8"/>
      <x:c r="F408" s="8"/>
      <x:c r="G408" s="8"/>
      <x:c r="H408" s="8" t="str">
        <x:f>IF(COUNTA(D408:G408)=0,"",D408-E408-F408-G408)</x:f>
      </x:c>
      <x:c r="I408" s="5" t="str">
        <x:f>IF(H408="","Sin datos",IF(H408&lt;='Parametros'!$B$3,"Cumple","No cumple"))</x:f>
        <x:v>Sin datos</x:v>
      </x:c>
    </x:row>
    <x:row r="409">
      <x:c r="A409" s="5"/>
      <x:c r="B409" s="7"/>
      <x:c r="C409" s="5" t="str">
        <x:f>IF(B409="","",IFERROR(XLOOKUP(B409,'Locales'!$A$2:$A$200,'Locales'!$B$2:$B$200),"Codigo no encontrado"))</x:f>
      </x:c>
      <x:c r="D409" s="8"/>
      <x:c r="E409" s="8"/>
      <x:c r="F409" s="8"/>
      <x:c r="G409" s="8"/>
      <x:c r="H409" s="8" t="str">
        <x:f>IF(COUNTA(D409:G409)=0,"",D409-E409-F409-G409)</x:f>
      </x:c>
      <x:c r="I409" s="5" t="str">
        <x:f>IF(H409="","Sin datos",IF(H409&lt;='Parametros'!$B$3,"Cumple","No cumple"))</x:f>
        <x:v>Sin datos</x:v>
      </x:c>
    </x:row>
    <x:row r="410">
      <x:c r="A410" s="5"/>
      <x:c r="B410" s="7"/>
      <x:c r="C410" s="5" t="str">
        <x:f>IF(B410="","",IFERROR(XLOOKUP(B410,'Locales'!$A$2:$A$200,'Locales'!$B$2:$B$200),"Codigo no encontrado"))</x:f>
      </x:c>
      <x:c r="D410" s="8"/>
      <x:c r="E410" s="8"/>
      <x:c r="F410" s="8"/>
      <x:c r="G410" s="8"/>
      <x:c r="H410" s="8" t="str">
        <x:f>IF(COUNTA(D410:G410)=0,"",D410-E410-F410-G410)</x:f>
      </x:c>
      <x:c r="I410" s="5" t="str">
        <x:f>IF(H410="","Sin datos",IF(H410&lt;='Parametros'!$B$3,"Cumple","No cumple"))</x:f>
        <x:v>Sin datos</x:v>
      </x:c>
    </x:row>
    <x:row r="411">
      <x:c r="A411" s="5"/>
      <x:c r="B411" s="7"/>
      <x:c r="C411" s="5" t="str">
        <x:f>IF(B411="","",IFERROR(XLOOKUP(B411,'Locales'!$A$2:$A$200,'Locales'!$B$2:$B$200),"Codigo no encontrado"))</x:f>
      </x:c>
      <x:c r="D411" s="8"/>
      <x:c r="E411" s="8"/>
      <x:c r="F411" s="8"/>
      <x:c r="G411" s="8"/>
      <x:c r="H411" s="8" t="str">
        <x:f>IF(COUNTA(D411:G411)=0,"",D411-E411-F411-G411)</x:f>
      </x:c>
      <x:c r="I411" s="5" t="str">
        <x:f>IF(H411="","Sin datos",IF(H411&lt;='Parametros'!$B$3,"Cumple","No cumple"))</x:f>
        <x:v>Sin datos</x:v>
      </x:c>
    </x:row>
    <x:row r="412">
      <x:c r="A412" s="5"/>
      <x:c r="B412" s="7"/>
      <x:c r="C412" s="5" t="str">
        <x:f>IF(B412="","",IFERROR(XLOOKUP(B412,'Locales'!$A$2:$A$200,'Locales'!$B$2:$B$200),"Codigo no encontrado"))</x:f>
      </x:c>
      <x:c r="D412" s="8"/>
      <x:c r="E412" s="8"/>
      <x:c r="F412" s="8"/>
      <x:c r="G412" s="8"/>
      <x:c r="H412" s="8" t="str">
        <x:f>IF(COUNTA(D412:G412)=0,"",D412-E412-F412-G412)</x:f>
      </x:c>
      <x:c r="I412" s="5" t="str">
        <x:f>IF(H412="","Sin datos",IF(H412&lt;='Parametros'!$B$3,"Cumple","No cumple"))</x:f>
        <x:v>Sin datos</x:v>
      </x:c>
    </x:row>
    <x:row r="413">
      <x:c r="A413" s="5"/>
      <x:c r="B413" s="7"/>
      <x:c r="C413" s="5" t="str">
        <x:f>IF(B413="","",IFERROR(XLOOKUP(B413,'Locales'!$A$2:$A$200,'Locales'!$B$2:$B$200),"Codigo no encontrado"))</x:f>
      </x:c>
      <x:c r="D413" s="8"/>
      <x:c r="E413" s="8"/>
      <x:c r="F413" s="8"/>
      <x:c r="G413" s="8"/>
      <x:c r="H413" s="8" t="str">
        <x:f>IF(COUNTA(D413:G413)=0,"",D413-E413-F413-G413)</x:f>
      </x:c>
      <x:c r="I413" s="5" t="str">
        <x:f>IF(H413="","Sin datos",IF(H413&lt;='Parametros'!$B$3,"Cumple","No cumple"))</x:f>
        <x:v>Sin datos</x:v>
      </x:c>
    </x:row>
    <x:row r="414">
      <x:c r="A414" s="5"/>
      <x:c r="B414" s="7"/>
      <x:c r="C414" s="5" t="str">
        <x:f>IF(B414="","",IFERROR(XLOOKUP(B414,'Locales'!$A$2:$A$200,'Locales'!$B$2:$B$200),"Codigo no encontrado"))</x:f>
      </x:c>
      <x:c r="D414" s="8"/>
      <x:c r="E414" s="8"/>
      <x:c r="F414" s="8"/>
      <x:c r="G414" s="8"/>
      <x:c r="H414" s="8" t="str">
        <x:f>IF(COUNTA(D414:G414)=0,"",D414-E414-F414-G414)</x:f>
      </x:c>
      <x:c r="I414" s="5" t="str">
        <x:f>IF(H414="","Sin datos",IF(H414&lt;='Parametros'!$B$3,"Cumple","No cumple"))</x:f>
        <x:v>Sin datos</x:v>
      </x:c>
    </x:row>
    <x:row r="415">
      <x:c r="A415" s="5"/>
      <x:c r="B415" s="7"/>
      <x:c r="C415" s="5" t="str">
        <x:f>IF(B415="","",IFERROR(XLOOKUP(B415,'Locales'!$A$2:$A$200,'Locales'!$B$2:$B$200),"Codigo no encontrado"))</x:f>
      </x:c>
      <x:c r="D415" s="8"/>
      <x:c r="E415" s="8"/>
      <x:c r="F415" s="8"/>
      <x:c r="G415" s="8"/>
      <x:c r="H415" s="8" t="str">
        <x:f>IF(COUNTA(D415:G415)=0,"",D415-E415-F415-G415)</x:f>
      </x:c>
      <x:c r="I415" s="5" t="str">
        <x:f>IF(H415="","Sin datos",IF(H415&lt;='Parametros'!$B$3,"Cumple","No cumple"))</x:f>
        <x:v>Sin datos</x:v>
      </x:c>
    </x:row>
    <x:row r="416">
      <x:c r="A416" s="5"/>
      <x:c r="B416" s="7"/>
      <x:c r="C416" s="5" t="str">
        <x:f>IF(B416="","",IFERROR(XLOOKUP(B416,'Locales'!$A$2:$A$200,'Locales'!$B$2:$B$200),"Codigo no encontrado"))</x:f>
      </x:c>
      <x:c r="D416" s="8"/>
      <x:c r="E416" s="8"/>
      <x:c r="F416" s="8"/>
      <x:c r="G416" s="8"/>
      <x:c r="H416" s="8" t="str">
        <x:f>IF(COUNTA(D416:G416)=0,"",D416-E416-F416-G416)</x:f>
      </x:c>
      <x:c r="I416" s="5" t="str">
        <x:f>IF(H416="","Sin datos",IF(H416&lt;='Parametros'!$B$3,"Cumple","No cumple"))</x:f>
        <x:v>Sin datos</x:v>
      </x:c>
    </x:row>
    <x:row r="417">
      <x:c r="A417" s="5"/>
      <x:c r="B417" s="7"/>
      <x:c r="C417" s="5" t="str">
        <x:f>IF(B417="","",IFERROR(XLOOKUP(B417,'Locales'!$A$2:$A$200,'Locales'!$B$2:$B$200),"Codigo no encontrado"))</x:f>
      </x:c>
      <x:c r="D417" s="8"/>
      <x:c r="E417" s="8"/>
      <x:c r="F417" s="8"/>
      <x:c r="G417" s="8"/>
      <x:c r="H417" s="8" t="str">
        <x:f>IF(COUNTA(D417:G417)=0,"",D417-E417-F417-G417)</x:f>
      </x:c>
      <x:c r="I417" s="5" t="str">
        <x:f>IF(H417="","Sin datos",IF(H417&lt;='Parametros'!$B$3,"Cumple","No cumple"))</x:f>
        <x:v>Sin datos</x:v>
      </x:c>
    </x:row>
    <x:row r="418">
      <x:c r="A418" s="5"/>
      <x:c r="B418" s="7"/>
      <x:c r="C418" s="5" t="str">
        <x:f>IF(B418="","",IFERROR(XLOOKUP(B418,'Locales'!$A$2:$A$200,'Locales'!$B$2:$B$200),"Codigo no encontrado"))</x:f>
      </x:c>
      <x:c r="D418" s="8"/>
      <x:c r="E418" s="8"/>
      <x:c r="F418" s="8"/>
      <x:c r="G418" s="8"/>
      <x:c r="H418" s="8" t="str">
        <x:f>IF(COUNTA(D418:G418)=0,"",D418-E418-F418-G418)</x:f>
      </x:c>
      <x:c r="I418" s="5" t="str">
        <x:f>IF(H418="","Sin datos",IF(H418&lt;='Parametros'!$B$3,"Cumple","No cumple"))</x:f>
        <x:v>Sin datos</x:v>
      </x:c>
    </x:row>
    <x:row r="419">
      <x:c r="A419" s="5"/>
      <x:c r="B419" s="7"/>
      <x:c r="C419" s="5" t="str">
        <x:f>IF(B419="","",IFERROR(XLOOKUP(B419,'Locales'!$A$2:$A$200,'Locales'!$B$2:$B$200),"Codigo no encontrado"))</x:f>
      </x:c>
      <x:c r="D419" s="8"/>
      <x:c r="E419" s="8"/>
      <x:c r="F419" s="8"/>
      <x:c r="G419" s="8"/>
      <x:c r="H419" s="8" t="str">
        <x:f>IF(COUNTA(D419:G419)=0,"",D419-E419-F419-G419)</x:f>
      </x:c>
      <x:c r="I419" s="5" t="str">
        <x:f>IF(H419="","Sin datos",IF(H419&lt;='Parametros'!$B$3,"Cumple","No cumple"))</x:f>
        <x:v>Sin datos</x:v>
      </x:c>
    </x:row>
    <x:row r="420">
      <x:c r="A420" s="5"/>
      <x:c r="B420" s="7"/>
      <x:c r="C420" s="5" t="str">
        <x:f>IF(B420="","",IFERROR(XLOOKUP(B420,'Locales'!$A$2:$A$200,'Locales'!$B$2:$B$200),"Codigo no encontrado"))</x:f>
      </x:c>
      <x:c r="D420" s="8"/>
      <x:c r="E420" s="8"/>
      <x:c r="F420" s="8"/>
      <x:c r="G420" s="8"/>
      <x:c r="H420" s="8" t="str">
        <x:f>IF(COUNTA(D420:G420)=0,"",D420-E420-F420-G420)</x:f>
      </x:c>
      <x:c r="I420" s="5" t="str">
        <x:f>IF(H420="","Sin datos",IF(H420&lt;='Parametros'!$B$3,"Cumple","No cumple"))</x:f>
        <x:v>Sin datos</x:v>
      </x:c>
    </x:row>
    <x:row r="421">
      <x:c r="A421" s="5"/>
      <x:c r="B421" s="7"/>
      <x:c r="C421" s="5" t="str">
        <x:f>IF(B421="","",IFERROR(XLOOKUP(B421,'Locales'!$A$2:$A$200,'Locales'!$B$2:$B$200),"Codigo no encontrado"))</x:f>
      </x:c>
      <x:c r="D421" s="8"/>
      <x:c r="E421" s="8"/>
      <x:c r="F421" s="8"/>
      <x:c r="G421" s="8"/>
      <x:c r="H421" s="8" t="str">
        <x:f>IF(COUNTA(D421:G421)=0,"",D421-E421-F421-G421)</x:f>
      </x:c>
      <x:c r="I421" s="5" t="str">
        <x:f>IF(H421="","Sin datos",IF(H421&lt;='Parametros'!$B$3,"Cumple","No cumple"))</x:f>
        <x:v>Sin datos</x:v>
      </x:c>
    </x:row>
    <x:row r="422">
      <x:c r="A422" s="5"/>
      <x:c r="B422" s="7"/>
      <x:c r="C422" s="5" t="str">
        <x:f>IF(B422="","",IFERROR(XLOOKUP(B422,'Locales'!$A$2:$A$200,'Locales'!$B$2:$B$200),"Codigo no encontrado"))</x:f>
      </x:c>
      <x:c r="D422" s="8"/>
      <x:c r="E422" s="8"/>
      <x:c r="F422" s="8"/>
      <x:c r="G422" s="8"/>
      <x:c r="H422" s="8" t="str">
        <x:f>IF(COUNTA(D422:G422)=0,"",D422-E422-F422-G422)</x:f>
      </x:c>
      <x:c r="I422" s="5" t="str">
        <x:f>IF(H422="","Sin datos",IF(H422&lt;='Parametros'!$B$3,"Cumple","No cumple"))</x:f>
        <x:v>Sin datos</x:v>
      </x:c>
    </x:row>
    <x:row r="423">
      <x:c r="A423" s="5"/>
      <x:c r="B423" s="7"/>
      <x:c r="C423" s="5" t="str">
        <x:f>IF(B423="","",IFERROR(XLOOKUP(B423,'Locales'!$A$2:$A$200,'Locales'!$B$2:$B$200),"Codigo no encontrado"))</x:f>
      </x:c>
      <x:c r="D423" s="8"/>
      <x:c r="E423" s="8"/>
      <x:c r="F423" s="8"/>
      <x:c r="G423" s="8"/>
      <x:c r="H423" s="8" t="str">
        <x:f>IF(COUNTA(D423:G423)=0,"",D423-E423-F423-G423)</x:f>
      </x:c>
      <x:c r="I423" s="5" t="str">
        <x:f>IF(H423="","Sin datos",IF(H423&lt;='Parametros'!$B$3,"Cumple","No cumple"))</x:f>
        <x:v>Sin datos</x:v>
      </x:c>
    </x:row>
    <x:row r="424">
      <x:c r="A424" s="5"/>
      <x:c r="B424" s="7"/>
      <x:c r="C424" s="5" t="str">
        <x:f>IF(B424="","",IFERROR(XLOOKUP(B424,'Locales'!$A$2:$A$200,'Locales'!$B$2:$B$200),"Codigo no encontrado"))</x:f>
      </x:c>
      <x:c r="D424" s="8"/>
      <x:c r="E424" s="8"/>
      <x:c r="F424" s="8"/>
      <x:c r="G424" s="8"/>
      <x:c r="H424" s="8" t="str">
        <x:f>IF(COUNTA(D424:G424)=0,"",D424-E424-F424-G424)</x:f>
      </x:c>
      <x:c r="I424" s="5" t="str">
        <x:f>IF(H424="","Sin datos",IF(H424&lt;='Parametros'!$B$3,"Cumple","No cumple"))</x:f>
        <x:v>Sin datos</x:v>
      </x:c>
    </x:row>
    <x:row r="425">
      <x:c r="A425" s="5"/>
      <x:c r="B425" s="7"/>
      <x:c r="C425" s="5" t="str">
        <x:f>IF(B425="","",IFERROR(XLOOKUP(B425,'Locales'!$A$2:$A$200,'Locales'!$B$2:$B$200),"Codigo no encontrado"))</x:f>
      </x:c>
      <x:c r="D425" s="8"/>
      <x:c r="E425" s="8"/>
      <x:c r="F425" s="8"/>
      <x:c r="G425" s="8"/>
      <x:c r="H425" s="8" t="str">
        <x:f>IF(COUNTA(D425:G425)=0,"",D425-E425-F425-G425)</x:f>
      </x:c>
      <x:c r="I425" s="5" t="str">
        <x:f>IF(H425="","Sin datos",IF(H425&lt;='Parametros'!$B$3,"Cumple","No cumple"))</x:f>
        <x:v>Sin datos</x:v>
      </x:c>
    </x:row>
    <x:row r="426">
      <x:c r="A426" s="5"/>
      <x:c r="B426" s="7"/>
      <x:c r="C426" s="5" t="str">
        <x:f>IF(B426="","",IFERROR(XLOOKUP(B426,'Locales'!$A$2:$A$200,'Locales'!$B$2:$B$200),"Codigo no encontrado"))</x:f>
      </x:c>
      <x:c r="D426" s="8"/>
      <x:c r="E426" s="8"/>
      <x:c r="F426" s="8"/>
      <x:c r="G426" s="8"/>
      <x:c r="H426" s="8" t="str">
        <x:f>IF(COUNTA(D426:G426)=0,"",D426-E426-F426-G426)</x:f>
      </x:c>
      <x:c r="I426" s="5" t="str">
        <x:f>IF(H426="","Sin datos",IF(H426&lt;='Parametros'!$B$3,"Cumple","No cumple"))</x:f>
        <x:v>Sin datos</x:v>
      </x:c>
    </x:row>
    <x:row r="427">
      <x:c r="A427" s="5"/>
      <x:c r="B427" s="7"/>
      <x:c r="C427" s="5" t="str">
        <x:f>IF(B427="","",IFERROR(XLOOKUP(B427,'Locales'!$A$2:$A$200,'Locales'!$B$2:$B$200),"Codigo no encontrado"))</x:f>
      </x:c>
      <x:c r="D427" s="8"/>
      <x:c r="E427" s="8"/>
      <x:c r="F427" s="8"/>
      <x:c r="G427" s="8"/>
      <x:c r="H427" s="8" t="str">
        <x:f>IF(COUNTA(D427:G427)=0,"",D427-E427-F427-G427)</x:f>
      </x:c>
      <x:c r="I427" s="5" t="str">
        <x:f>IF(H427="","Sin datos",IF(H427&lt;='Parametros'!$B$3,"Cumple","No cumple"))</x:f>
        <x:v>Sin datos</x:v>
      </x:c>
    </x:row>
    <x:row r="428">
      <x:c r="A428" s="5"/>
      <x:c r="B428" s="7"/>
      <x:c r="C428" s="5" t="str">
        <x:f>IF(B428="","",IFERROR(XLOOKUP(B428,'Locales'!$A$2:$A$200,'Locales'!$B$2:$B$200),"Codigo no encontrado"))</x:f>
      </x:c>
      <x:c r="D428" s="8"/>
      <x:c r="E428" s="8"/>
      <x:c r="F428" s="8"/>
      <x:c r="G428" s="8"/>
      <x:c r="H428" s="8" t="str">
        <x:f>IF(COUNTA(D428:G428)=0,"",D428-E428-F428-G428)</x:f>
      </x:c>
      <x:c r="I428" s="5" t="str">
        <x:f>IF(H428="","Sin datos",IF(H428&lt;='Parametros'!$B$3,"Cumple","No cumple"))</x:f>
        <x:v>Sin datos</x:v>
      </x:c>
    </x:row>
    <x:row r="429">
      <x:c r="A429" s="5"/>
      <x:c r="B429" s="7"/>
      <x:c r="C429" s="5" t="str">
        <x:f>IF(B429="","",IFERROR(XLOOKUP(B429,'Locales'!$A$2:$A$200,'Locales'!$B$2:$B$200),"Codigo no encontrado"))</x:f>
      </x:c>
      <x:c r="D429" s="8"/>
      <x:c r="E429" s="8"/>
      <x:c r="F429" s="8"/>
      <x:c r="G429" s="8"/>
      <x:c r="H429" s="8" t="str">
        <x:f>IF(COUNTA(D429:G429)=0,"",D429-E429-F429-G429)</x:f>
      </x:c>
      <x:c r="I429" s="5" t="str">
        <x:f>IF(H429="","Sin datos",IF(H429&lt;='Parametros'!$B$3,"Cumple","No cumple"))</x:f>
        <x:v>Sin datos</x:v>
      </x:c>
    </x:row>
    <x:row r="430">
      <x:c r="A430" s="5"/>
      <x:c r="B430" s="7"/>
      <x:c r="C430" s="5" t="str">
        <x:f>IF(B430="","",IFERROR(XLOOKUP(B430,'Locales'!$A$2:$A$200,'Locales'!$B$2:$B$200),"Codigo no encontrado"))</x:f>
      </x:c>
      <x:c r="D430" s="8"/>
      <x:c r="E430" s="8"/>
      <x:c r="F430" s="8"/>
      <x:c r="G430" s="8"/>
      <x:c r="H430" s="8" t="str">
        <x:f>IF(COUNTA(D430:G430)=0,"",D430-E430-F430-G430)</x:f>
      </x:c>
      <x:c r="I430" s="5" t="str">
        <x:f>IF(H430="","Sin datos",IF(H430&lt;='Parametros'!$B$3,"Cumple","No cumple"))</x:f>
        <x:v>Sin datos</x:v>
      </x:c>
    </x:row>
    <x:row r="431">
      <x:c r="A431" s="5"/>
      <x:c r="B431" s="7"/>
      <x:c r="C431" s="5" t="str">
        <x:f>IF(B431="","",IFERROR(XLOOKUP(B431,'Locales'!$A$2:$A$200,'Locales'!$B$2:$B$200),"Codigo no encontrado"))</x:f>
      </x:c>
      <x:c r="D431" s="8"/>
      <x:c r="E431" s="8"/>
      <x:c r="F431" s="8"/>
      <x:c r="G431" s="8"/>
      <x:c r="H431" s="8" t="str">
        <x:f>IF(COUNTA(D431:G431)=0,"",D431-E431-F431-G431)</x:f>
      </x:c>
      <x:c r="I431" s="5" t="str">
        <x:f>IF(H431="","Sin datos",IF(H431&lt;='Parametros'!$B$3,"Cumple","No cumple"))</x:f>
        <x:v>Sin datos</x:v>
      </x:c>
    </x:row>
    <x:row r="432">
      <x:c r="A432" s="5"/>
      <x:c r="B432" s="7"/>
      <x:c r="C432" s="5" t="str">
        <x:f>IF(B432="","",IFERROR(XLOOKUP(B432,'Locales'!$A$2:$A$200,'Locales'!$B$2:$B$200),"Codigo no encontrado"))</x:f>
      </x:c>
      <x:c r="D432" s="8"/>
      <x:c r="E432" s="8"/>
      <x:c r="F432" s="8"/>
      <x:c r="G432" s="8"/>
      <x:c r="H432" s="8" t="str">
        <x:f>IF(COUNTA(D432:G432)=0,"",D432-E432-F432-G432)</x:f>
      </x:c>
      <x:c r="I432" s="5" t="str">
        <x:f>IF(H432="","Sin datos",IF(H432&lt;='Parametros'!$B$3,"Cumple","No cumple"))</x:f>
        <x:v>Sin datos</x:v>
      </x:c>
    </x:row>
    <x:row r="433">
      <x:c r="A433" s="5"/>
      <x:c r="B433" s="7"/>
      <x:c r="C433" s="5" t="str">
        <x:f>IF(B433="","",IFERROR(XLOOKUP(B433,'Locales'!$A$2:$A$200,'Locales'!$B$2:$B$200),"Codigo no encontrado"))</x:f>
      </x:c>
      <x:c r="D433" s="8"/>
      <x:c r="E433" s="8"/>
      <x:c r="F433" s="8"/>
      <x:c r="G433" s="8"/>
      <x:c r="H433" s="8" t="str">
        <x:f>IF(COUNTA(D433:G433)=0,"",D433-E433-F433-G433)</x:f>
      </x:c>
      <x:c r="I433" s="5" t="str">
        <x:f>IF(H433="","Sin datos",IF(H433&lt;='Parametros'!$B$3,"Cumple","No cumple"))</x:f>
        <x:v>Sin datos</x:v>
      </x:c>
    </x:row>
    <x:row r="434">
      <x:c r="A434" s="5"/>
      <x:c r="B434" s="7"/>
      <x:c r="C434" s="5" t="str">
        <x:f>IF(B434="","",IFERROR(XLOOKUP(B434,'Locales'!$A$2:$A$200,'Locales'!$B$2:$B$200),"Codigo no encontrado"))</x:f>
      </x:c>
      <x:c r="D434" s="8"/>
      <x:c r="E434" s="8"/>
      <x:c r="F434" s="8"/>
      <x:c r="G434" s="8"/>
      <x:c r="H434" s="8" t="str">
        <x:f>IF(COUNTA(D434:G434)=0,"",D434-E434-F434-G434)</x:f>
      </x:c>
      <x:c r="I434" s="5" t="str">
        <x:f>IF(H434="","Sin datos",IF(H434&lt;='Parametros'!$B$3,"Cumple","No cumple"))</x:f>
        <x:v>Sin datos</x:v>
      </x:c>
    </x:row>
    <x:row r="435">
      <x:c r="A435" s="5"/>
      <x:c r="B435" s="7"/>
      <x:c r="C435" s="5" t="str">
        <x:f>IF(B435="","",IFERROR(XLOOKUP(B435,'Locales'!$A$2:$A$200,'Locales'!$B$2:$B$200),"Codigo no encontrado"))</x:f>
      </x:c>
      <x:c r="D435" s="8"/>
      <x:c r="E435" s="8"/>
      <x:c r="F435" s="8"/>
      <x:c r="G435" s="8"/>
      <x:c r="H435" s="8" t="str">
        <x:f>IF(COUNTA(D435:G435)=0,"",D435-E435-F435-G435)</x:f>
      </x:c>
      <x:c r="I435" s="5" t="str">
        <x:f>IF(H435="","Sin datos",IF(H435&lt;='Parametros'!$B$3,"Cumple","No cumple"))</x:f>
        <x:v>Sin datos</x:v>
      </x:c>
    </x:row>
    <x:row r="436">
      <x:c r="A436" s="5"/>
      <x:c r="B436" s="7"/>
      <x:c r="C436" s="5" t="str">
        <x:f>IF(B436="","",IFERROR(XLOOKUP(B436,'Locales'!$A$2:$A$200,'Locales'!$B$2:$B$200),"Codigo no encontrado"))</x:f>
      </x:c>
      <x:c r="D436" s="8"/>
      <x:c r="E436" s="8"/>
      <x:c r="F436" s="8"/>
      <x:c r="G436" s="8"/>
      <x:c r="H436" s="8" t="str">
        <x:f>IF(COUNTA(D436:G436)=0,"",D436-E436-F436-G436)</x:f>
      </x:c>
      <x:c r="I436" s="5" t="str">
        <x:f>IF(H436="","Sin datos",IF(H436&lt;='Parametros'!$B$3,"Cumple","No cumple"))</x:f>
        <x:v>Sin datos</x:v>
      </x:c>
    </x:row>
    <x:row r="437">
      <x:c r="A437" s="5"/>
      <x:c r="B437" s="7"/>
      <x:c r="C437" s="5" t="str">
        <x:f>IF(B437="","",IFERROR(XLOOKUP(B437,'Locales'!$A$2:$A$200,'Locales'!$B$2:$B$200),"Codigo no encontrado"))</x:f>
      </x:c>
      <x:c r="D437" s="8"/>
      <x:c r="E437" s="8"/>
      <x:c r="F437" s="8"/>
      <x:c r="G437" s="8"/>
      <x:c r="H437" s="8" t="str">
        <x:f>IF(COUNTA(D437:G437)=0,"",D437-E437-F437-G437)</x:f>
      </x:c>
      <x:c r="I437" s="5" t="str">
        <x:f>IF(H437="","Sin datos",IF(H437&lt;='Parametros'!$B$3,"Cumple","No cumple"))</x:f>
        <x:v>Sin datos</x:v>
      </x:c>
    </x:row>
    <x:row r="438">
      <x:c r="A438" s="5"/>
      <x:c r="B438" s="7"/>
      <x:c r="C438" s="5" t="str">
        <x:f>IF(B438="","",IFERROR(XLOOKUP(B438,'Locales'!$A$2:$A$200,'Locales'!$B$2:$B$200),"Codigo no encontrado"))</x:f>
      </x:c>
      <x:c r="D438" s="8"/>
      <x:c r="E438" s="8"/>
      <x:c r="F438" s="8"/>
      <x:c r="G438" s="8"/>
      <x:c r="H438" s="8" t="str">
        <x:f>IF(COUNTA(D438:G438)=0,"",D438-E438-F438-G438)</x:f>
      </x:c>
      <x:c r="I438" s="5" t="str">
        <x:f>IF(H438="","Sin datos",IF(H438&lt;='Parametros'!$B$3,"Cumple","No cumple"))</x:f>
        <x:v>Sin datos</x:v>
      </x:c>
    </x:row>
    <x:row r="439">
      <x:c r="A439" s="5"/>
      <x:c r="B439" s="7"/>
      <x:c r="C439" s="5" t="str">
        <x:f>IF(B439="","",IFERROR(XLOOKUP(B439,'Locales'!$A$2:$A$200,'Locales'!$B$2:$B$200),"Codigo no encontrado"))</x:f>
      </x:c>
      <x:c r="D439" s="8"/>
      <x:c r="E439" s="8"/>
      <x:c r="F439" s="8"/>
      <x:c r="G439" s="8"/>
      <x:c r="H439" s="8" t="str">
        <x:f>IF(COUNTA(D439:G439)=0,"",D439-E439-F439-G439)</x:f>
      </x:c>
      <x:c r="I439" s="5" t="str">
        <x:f>IF(H439="","Sin datos",IF(H439&lt;='Parametros'!$B$3,"Cumple","No cumple"))</x:f>
        <x:v>Sin datos</x:v>
      </x:c>
    </x:row>
    <x:row r="440">
      <x:c r="A440" s="5"/>
      <x:c r="B440" s="7"/>
      <x:c r="C440" s="5" t="str">
        <x:f>IF(B440="","",IFERROR(XLOOKUP(B440,'Locales'!$A$2:$A$200,'Locales'!$B$2:$B$200),"Codigo no encontrado"))</x:f>
      </x:c>
      <x:c r="D440" s="8"/>
      <x:c r="E440" s="8"/>
      <x:c r="F440" s="8"/>
      <x:c r="G440" s="8"/>
      <x:c r="H440" s="8" t="str">
        <x:f>IF(COUNTA(D440:G440)=0,"",D440-E440-F440-G440)</x:f>
      </x:c>
      <x:c r="I440" s="5" t="str">
        <x:f>IF(H440="","Sin datos",IF(H440&lt;='Parametros'!$B$3,"Cumple","No cumple"))</x:f>
        <x:v>Sin datos</x:v>
      </x:c>
    </x:row>
    <x:row r="441">
      <x:c r="A441" s="5"/>
      <x:c r="B441" s="7"/>
      <x:c r="C441" s="5" t="str">
        <x:f>IF(B441="","",IFERROR(XLOOKUP(B441,'Locales'!$A$2:$A$200,'Locales'!$B$2:$B$200),"Codigo no encontrado"))</x:f>
      </x:c>
      <x:c r="D441" s="8"/>
      <x:c r="E441" s="8"/>
      <x:c r="F441" s="8"/>
      <x:c r="G441" s="8"/>
      <x:c r="H441" s="8" t="str">
        <x:f>IF(COUNTA(D441:G441)=0,"",D441-E441-F441-G441)</x:f>
      </x:c>
      <x:c r="I441" s="5" t="str">
        <x:f>IF(H441="","Sin datos",IF(H441&lt;='Parametros'!$B$3,"Cumple","No cumple"))</x:f>
        <x:v>Sin datos</x:v>
      </x:c>
    </x:row>
    <x:row r="442">
      <x:c r="A442" s="5"/>
      <x:c r="B442" s="7"/>
      <x:c r="C442" s="5" t="str">
        <x:f>IF(B442="","",IFERROR(XLOOKUP(B442,'Locales'!$A$2:$A$200,'Locales'!$B$2:$B$200),"Codigo no encontrado"))</x:f>
      </x:c>
      <x:c r="D442" s="8"/>
      <x:c r="E442" s="8"/>
      <x:c r="F442" s="8"/>
      <x:c r="G442" s="8"/>
      <x:c r="H442" s="8" t="str">
        <x:f>IF(COUNTA(D442:G442)=0,"",D442-E442-F442-G442)</x:f>
      </x:c>
      <x:c r="I442" s="5" t="str">
        <x:f>IF(H442="","Sin datos",IF(H442&lt;='Parametros'!$B$3,"Cumple","No cumple"))</x:f>
        <x:v>Sin datos</x:v>
      </x:c>
    </x:row>
    <x:row r="443">
      <x:c r="A443" s="5"/>
      <x:c r="B443" s="7"/>
      <x:c r="C443" s="5" t="str">
        <x:f>IF(B443="","",IFERROR(XLOOKUP(B443,'Locales'!$A$2:$A$200,'Locales'!$B$2:$B$200),"Codigo no encontrado"))</x:f>
      </x:c>
      <x:c r="D443" s="8"/>
      <x:c r="E443" s="8"/>
      <x:c r="F443" s="8"/>
      <x:c r="G443" s="8"/>
      <x:c r="H443" s="8" t="str">
        <x:f>IF(COUNTA(D443:G443)=0,"",D443-E443-F443-G443)</x:f>
      </x:c>
      <x:c r="I443" s="5" t="str">
        <x:f>IF(H443="","Sin datos",IF(H443&lt;='Parametros'!$B$3,"Cumple","No cumple"))</x:f>
        <x:v>Sin datos</x:v>
      </x:c>
    </x:row>
    <x:row r="444">
      <x:c r="A444" s="5"/>
      <x:c r="B444" s="7"/>
      <x:c r="C444" s="5" t="str">
        <x:f>IF(B444="","",IFERROR(XLOOKUP(B444,'Locales'!$A$2:$A$200,'Locales'!$B$2:$B$200),"Codigo no encontrado"))</x:f>
      </x:c>
      <x:c r="D444" s="8"/>
      <x:c r="E444" s="8"/>
      <x:c r="F444" s="8"/>
      <x:c r="G444" s="8"/>
      <x:c r="H444" s="8" t="str">
        <x:f>IF(COUNTA(D444:G444)=0,"",D444-E444-F444-G444)</x:f>
      </x:c>
      <x:c r="I444" s="5" t="str">
        <x:f>IF(H444="","Sin datos",IF(H444&lt;='Parametros'!$B$3,"Cumple","No cumple"))</x:f>
        <x:v>Sin datos</x:v>
      </x:c>
    </x:row>
    <x:row r="445">
      <x:c r="A445" s="5"/>
      <x:c r="B445" s="7"/>
      <x:c r="C445" s="5" t="str">
        <x:f>IF(B445="","",IFERROR(XLOOKUP(B445,'Locales'!$A$2:$A$200,'Locales'!$B$2:$B$200),"Codigo no encontrado"))</x:f>
      </x:c>
      <x:c r="D445" s="8"/>
      <x:c r="E445" s="8"/>
      <x:c r="F445" s="8"/>
      <x:c r="G445" s="8"/>
      <x:c r="H445" s="8" t="str">
        <x:f>IF(COUNTA(D445:G445)=0,"",D445-E445-F445-G445)</x:f>
      </x:c>
      <x:c r="I445" s="5" t="str">
        <x:f>IF(H445="","Sin datos",IF(H445&lt;='Parametros'!$B$3,"Cumple","No cumple"))</x:f>
        <x:v>Sin datos</x:v>
      </x:c>
    </x:row>
    <x:row r="446">
      <x:c r="A446" s="5"/>
      <x:c r="B446" s="7"/>
      <x:c r="C446" s="5" t="str">
        <x:f>IF(B446="","",IFERROR(XLOOKUP(B446,'Locales'!$A$2:$A$200,'Locales'!$B$2:$B$200),"Codigo no encontrado"))</x:f>
      </x:c>
      <x:c r="D446" s="8"/>
      <x:c r="E446" s="8"/>
      <x:c r="F446" s="8"/>
      <x:c r="G446" s="8"/>
      <x:c r="H446" s="8" t="str">
        <x:f>IF(COUNTA(D446:G446)=0,"",D446-E446-F446-G446)</x:f>
      </x:c>
      <x:c r="I446" s="5" t="str">
        <x:f>IF(H446="","Sin datos",IF(H446&lt;='Parametros'!$B$3,"Cumple","No cumple"))</x:f>
        <x:v>Sin datos</x:v>
      </x:c>
    </x:row>
    <x:row r="447">
      <x:c r="A447" s="5"/>
      <x:c r="B447" s="7"/>
      <x:c r="C447" s="5" t="str">
        <x:f>IF(B447="","",IFERROR(XLOOKUP(B447,'Locales'!$A$2:$A$200,'Locales'!$B$2:$B$200),"Codigo no encontrado"))</x:f>
      </x:c>
      <x:c r="D447" s="8"/>
      <x:c r="E447" s="8"/>
      <x:c r="F447" s="8"/>
      <x:c r="G447" s="8"/>
      <x:c r="H447" s="8" t="str">
        <x:f>IF(COUNTA(D447:G447)=0,"",D447-E447-F447-G447)</x:f>
      </x:c>
      <x:c r="I447" s="5" t="str">
        <x:f>IF(H447="","Sin datos",IF(H447&lt;='Parametros'!$B$3,"Cumple","No cumple"))</x:f>
        <x:v>Sin datos</x:v>
      </x:c>
    </x:row>
    <x:row r="448">
      <x:c r="A448" s="5"/>
      <x:c r="B448" s="7"/>
      <x:c r="C448" s="5" t="str">
        <x:f>IF(B448="","",IFERROR(XLOOKUP(B448,'Locales'!$A$2:$A$200,'Locales'!$B$2:$B$200),"Codigo no encontrado"))</x:f>
      </x:c>
      <x:c r="D448" s="8"/>
      <x:c r="E448" s="8"/>
      <x:c r="F448" s="8"/>
      <x:c r="G448" s="8"/>
      <x:c r="H448" s="8" t="str">
        <x:f>IF(COUNTA(D448:G448)=0,"",D448-E448-F448-G448)</x:f>
      </x:c>
      <x:c r="I448" s="5" t="str">
        <x:f>IF(H448="","Sin datos",IF(H448&lt;='Parametros'!$B$3,"Cumple","No cumple"))</x:f>
        <x:v>Sin datos</x:v>
      </x:c>
    </x:row>
    <x:row r="449">
      <x:c r="A449" s="5"/>
      <x:c r="B449" s="7"/>
      <x:c r="C449" s="5" t="str">
        <x:f>IF(B449="","",IFERROR(XLOOKUP(B449,'Locales'!$A$2:$A$200,'Locales'!$B$2:$B$200),"Codigo no encontrado"))</x:f>
      </x:c>
      <x:c r="D449" s="8"/>
      <x:c r="E449" s="8"/>
      <x:c r="F449" s="8"/>
      <x:c r="G449" s="8"/>
      <x:c r="H449" s="8" t="str">
        <x:f>IF(COUNTA(D449:G449)=0,"",D449-E449-F449-G449)</x:f>
      </x:c>
      <x:c r="I449" s="5" t="str">
        <x:f>IF(H449="","Sin datos",IF(H449&lt;='Parametros'!$B$3,"Cumple","No cumple"))</x:f>
        <x:v>Sin datos</x:v>
      </x:c>
    </x:row>
    <x:row r="450">
      <x:c r="A450" s="5"/>
      <x:c r="B450" s="7"/>
      <x:c r="C450" s="5" t="str">
        <x:f>IF(B450="","",IFERROR(XLOOKUP(B450,'Locales'!$A$2:$A$200,'Locales'!$B$2:$B$200),"Codigo no encontrado"))</x:f>
      </x:c>
      <x:c r="D450" s="8"/>
      <x:c r="E450" s="8"/>
      <x:c r="F450" s="8"/>
      <x:c r="G450" s="8"/>
      <x:c r="H450" s="8" t="str">
        <x:f>IF(COUNTA(D450:G450)=0,"",D450-E450-F450-G450)</x:f>
      </x:c>
      <x:c r="I450" s="5" t="str">
        <x:f>IF(H450="","Sin datos",IF(H450&lt;='Parametros'!$B$3,"Cumple","No cumple"))</x:f>
        <x:v>Sin datos</x:v>
      </x:c>
    </x:row>
    <x:row r="451">
      <x:c r="A451" s="5"/>
      <x:c r="B451" s="7"/>
      <x:c r="C451" s="5" t="str">
        <x:f>IF(B451="","",IFERROR(XLOOKUP(B451,'Locales'!$A$2:$A$200,'Locales'!$B$2:$B$200),"Codigo no encontrado"))</x:f>
      </x:c>
      <x:c r="D451" s="8"/>
      <x:c r="E451" s="8"/>
      <x:c r="F451" s="8"/>
      <x:c r="G451" s="8"/>
      <x:c r="H451" s="8" t="str">
        <x:f>IF(COUNTA(D451:G451)=0,"",D451-E451-F451-G451)</x:f>
      </x:c>
      <x:c r="I451" s="5" t="str">
        <x:f>IF(H451="","Sin datos",IF(H451&lt;='Parametros'!$B$3,"Cumple","No cumple"))</x:f>
        <x:v>Sin datos</x:v>
      </x:c>
    </x:row>
    <x:row r="452">
      <x:c r="A452" s="5"/>
      <x:c r="B452" s="7"/>
      <x:c r="C452" s="5" t="str">
        <x:f>IF(B452="","",IFERROR(XLOOKUP(B452,'Locales'!$A$2:$A$200,'Locales'!$B$2:$B$200),"Codigo no encontrado"))</x:f>
      </x:c>
      <x:c r="D452" s="8"/>
      <x:c r="E452" s="8"/>
      <x:c r="F452" s="8"/>
      <x:c r="G452" s="8"/>
      <x:c r="H452" s="8" t="str">
        <x:f>IF(COUNTA(D452:G452)=0,"",D452-E452-F452-G452)</x:f>
      </x:c>
      <x:c r="I452" s="5" t="str">
        <x:f>IF(H452="","Sin datos",IF(H452&lt;='Parametros'!$B$3,"Cumple","No cumple"))</x:f>
        <x:v>Sin datos</x:v>
      </x:c>
    </x:row>
    <x:row r="453">
      <x:c r="A453" s="5"/>
      <x:c r="B453" s="7"/>
      <x:c r="C453" s="5" t="str">
        <x:f>IF(B453="","",IFERROR(XLOOKUP(B453,'Locales'!$A$2:$A$200,'Locales'!$B$2:$B$200),"Codigo no encontrado"))</x:f>
      </x:c>
      <x:c r="D453" s="8"/>
      <x:c r="E453" s="8"/>
      <x:c r="F453" s="8"/>
      <x:c r="G453" s="8"/>
      <x:c r="H453" s="8" t="str">
        <x:f>IF(COUNTA(D453:G453)=0,"",D453-E453-F453-G453)</x:f>
      </x:c>
      <x:c r="I453" s="5" t="str">
        <x:f>IF(H453="","Sin datos",IF(H453&lt;='Parametros'!$B$3,"Cumple","No cumple"))</x:f>
        <x:v>Sin datos</x:v>
      </x:c>
    </x:row>
    <x:row r="454">
      <x:c r="A454" s="5"/>
      <x:c r="B454" s="7"/>
      <x:c r="C454" s="5" t="str">
        <x:f>IF(B454="","",IFERROR(XLOOKUP(B454,'Locales'!$A$2:$A$200,'Locales'!$B$2:$B$200),"Codigo no encontrado"))</x:f>
      </x:c>
      <x:c r="D454" s="8"/>
      <x:c r="E454" s="8"/>
      <x:c r="F454" s="8"/>
      <x:c r="G454" s="8"/>
      <x:c r="H454" s="8" t="str">
        <x:f>IF(COUNTA(D454:G454)=0,"",D454-E454-F454-G454)</x:f>
      </x:c>
      <x:c r="I454" s="5" t="str">
        <x:f>IF(H454="","Sin datos",IF(H454&lt;='Parametros'!$B$3,"Cumple","No cumple"))</x:f>
        <x:v>Sin datos</x:v>
      </x:c>
    </x:row>
    <x:row r="455">
      <x:c r="A455" s="5"/>
      <x:c r="B455" s="7"/>
      <x:c r="C455" s="5" t="str">
        <x:f>IF(B455="","",IFERROR(XLOOKUP(B455,'Locales'!$A$2:$A$200,'Locales'!$B$2:$B$200),"Codigo no encontrado"))</x:f>
      </x:c>
      <x:c r="D455" s="8"/>
      <x:c r="E455" s="8"/>
      <x:c r="F455" s="8"/>
      <x:c r="G455" s="8"/>
      <x:c r="H455" s="8" t="str">
        <x:f>IF(COUNTA(D455:G455)=0,"",D455-E455-F455-G455)</x:f>
      </x:c>
      <x:c r="I455" s="5" t="str">
        <x:f>IF(H455="","Sin datos",IF(H455&lt;='Parametros'!$B$3,"Cumple","No cumple"))</x:f>
        <x:v>Sin datos</x:v>
      </x:c>
    </x:row>
    <x:row r="456">
      <x:c r="A456" s="5"/>
      <x:c r="B456" s="7"/>
      <x:c r="C456" s="5" t="str">
        <x:f>IF(B456="","",IFERROR(XLOOKUP(B456,'Locales'!$A$2:$A$200,'Locales'!$B$2:$B$200),"Codigo no encontrado"))</x:f>
      </x:c>
      <x:c r="D456" s="8"/>
      <x:c r="E456" s="8"/>
      <x:c r="F456" s="8"/>
      <x:c r="G456" s="8"/>
      <x:c r="H456" s="8" t="str">
        <x:f>IF(COUNTA(D456:G456)=0,"",D456-E456-F456-G456)</x:f>
      </x:c>
      <x:c r="I456" s="5" t="str">
        <x:f>IF(H456="","Sin datos",IF(H456&lt;='Parametros'!$B$3,"Cumple","No cumple"))</x:f>
        <x:v>Sin datos</x:v>
      </x:c>
    </x:row>
    <x:row r="457">
      <x:c r="A457" s="5"/>
      <x:c r="B457" s="7"/>
      <x:c r="C457" s="5" t="str">
        <x:f>IF(B457="","",IFERROR(XLOOKUP(B457,'Locales'!$A$2:$A$200,'Locales'!$B$2:$B$200),"Codigo no encontrado"))</x:f>
      </x:c>
      <x:c r="D457" s="8"/>
      <x:c r="E457" s="8"/>
      <x:c r="F457" s="8"/>
      <x:c r="G457" s="8"/>
      <x:c r="H457" s="8" t="str">
        <x:f>IF(COUNTA(D457:G457)=0,"",D457-E457-F457-G457)</x:f>
      </x:c>
      <x:c r="I457" s="5" t="str">
        <x:f>IF(H457="","Sin datos",IF(H457&lt;='Parametros'!$B$3,"Cumple","No cumple"))</x:f>
        <x:v>Sin datos</x:v>
      </x:c>
    </x:row>
    <x:row r="458">
      <x:c r="A458" s="5"/>
      <x:c r="B458" s="7"/>
      <x:c r="C458" s="5" t="str">
        <x:f>IF(B458="","",IFERROR(XLOOKUP(B458,'Locales'!$A$2:$A$200,'Locales'!$B$2:$B$200),"Codigo no encontrado"))</x:f>
      </x:c>
      <x:c r="D458" s="8"/>
      <x:c r="E458" s="8"/>
      <x:c r="F458" s="8"/>
      <x:c r="G458" s="8"/>
      <x:c r="H458" s="8" t="str">
        <x:f>IF(COUNTA(D458:G458)=0,"",D458-E458-F458-G458)</x:f>
      </x:c>
      <x:c r="I458" s="5" t="str">
        <x:f>IF(H458="","Sin datos",IF(H458&lt;='Parametros'!$B$3,"Cumple","No cumple"))</x:f>
        <x:v>Sin datos</x:v>
      </x:c>
    </x:row>
    <x:row r="459">
      <x:c r="A459" s="5"/>
      <x:c r="B459" s="7"/>
      <x:c r="C459" s="5" t="str">
        <x:f>IF(B459="","",IFERROR(XLOOKUP(B459,'Locales'!$A$2:$A$200,'Locales'!$B$2:$B$200),"Codigo no encontrado"))</x:f>
      </x:c>
      <x:c r="D459" s="8"/>
      <x:c r="E459" s="8"/>
      <x:c r="F459" s="8"/>
      <x:c r="G459" s="8"/>
      <x:c r="H459" s="8" t="str">
        <x:f>IF(COUNTA(D459:G459)=0,"",D459-E459-F459-G459)</x:f>
      </x:c>
      <x:c r="I459" s="5" t="str">
        <x:f>IF(H459="","Sin datos",IF(H459&lt;='Parametros'!$B$3,"Cumple","No cumple"))</x:f>
        <x:v>Sin datos</x:v>
      </x:c>
    </x:row>
    <x:row r="460">
      <x:c r="A460" s="5"/>
      <x:c r="B460" s="7"/>
      <x:c r="C460" s="5" t="str">
        <x:f>IF(B460="","",IFERROR(XLOOKUP(B460,'Locales'!$A$2:$A$200,'Locales'!$B$2:$B$200),"Codigo no encontrado"))</x:f>
      </x:c>
      <x:c r="D460" s="8"/>
      <x:c r="E460" s="8"/>
      <x:c r="F460" s="8"/>
      <x:c r="G460" s="8"/>
      <x:c r="H460" s="8" t="str">
        <x:f>IF(COUNTA(D460:G460)=0,"",D460-E460-F460-G460)</x:f>
      </x:c>
      <x:c r="I460" s="5" t="str">
        <x:f>IF(H460="","Sin datos",IF(H460&lt;='Parametros'!$B$3,"Cumple","No cumple"))</x:f>
        <x:v>Sin datos</x:v>
      </x:c>
    </x:row>
    <x:row r="461">
      <x:c r="A461" s="5"/>
      <x:c r="B461" s="7"/>
      <x:c r="C461" s="5" t="str">
        <x:f>IF(B461="","",IFERROR(XLOOKUP(B461,'Locales'!$A$2:$A$200,'Locales'!$B$2:$B$200),"Codigo no encontrado"))</x:f>
      </x:c>
      <x:c r="D461" s="8"/>
      <x:c r="E461" s="8"/>
      <x:c r="F461" s="8"/>
      <x:c r="G461" s="8"/>
      <x:c r="H461" s="8" t="str">
        <x:f>IF(COUNTA(D461:G461)=0,"",D461-E461-F461-G461)</x:f>
      </x:c>
      <x:c r="I461" s="5" t="str">
        <x:f>IF(H461="","Sin datos",IF(H461&lt;='Parametros'!$B$3,"Cumple","No cumple"))</x:f>
        <x:v>Sin datos</x:v>
      </x:c>
    </x:row>
    <x:row r="462">
      <x:c r="A462" s="5"/>
      <x:c r="B462" s="7"/>
      <x:c r="C462" s="5" t="str">
        <x:f>IF(B462="","",IFERROR(XLOOKUP(B462,'Locales'!$A$2:$A$200,'Locales'!$B$2:$B$200),"Codigo no encontrado"))</x:f>
      </x:c>
      <x:c r="D462" s="8"/>
      <x:c r="E462" s="8"/>
      <x:c r="F462" s="8"/>
      <x:c r="G462" s="8"/>
      <x:c r="H462" s="8" t="str">
        <x:f>IF(COUNTA(D462:G462)=0,"",D462-E462-F462-G462)</x:f>
      </x:c>
      <x:c r="I462" s="5" t="str">
        <x:f>IF(H462="","Sin datos",IF(H462&lt;='Parametros'!$B$3,"Cumple","No cumple"))</x:f>
        <x:v>Sin datos</x:v>
      </x:c>
    </x:row>
    <x:row r="463">
      <x:c r="A463" s="5"/>
      <x:c r="B463" s="7"/>
      <x:c r="C463" s="5" t="str">
        <x:f>IF(B463="","",IFERROR(XLOOKUP(B463,'Locales'!$A$2:$A$200,'Locales'!$B$2:$B$200),"Codigo no encontrado"))</x:f>
      </x:c>
      <x:c r="D463" s="8"/>
      <x:c r="E463" s="8"/>
      <x:c r="F463" s="8"/>
      <x:c r="G463" s="8"/>
      <x:c r="H463" s="8" t="str">
        <x:f>IF(COUNTA(D463:G463)=0,"",D463-E463-F463-G463)</x:f>
      </x:c>
      <x:c r="I463" s="5" t="str">
        <x:f>IF(H463="","Sin datos",IF(H463&lt;='Parametros'!$B$3,"Cumple","No cumple"))</x:f>
        <x:v>Sin datos</x:v>
      </x:c>
    </x:row>
    <x:row r="464">
      <x:c r="A464" s="5"/>
      <x:c r="B464" s="7"/>
      <x:c r="C464" s="5" t="str">
        <x:f>IF(B464="","",IFERROR(XLOOKUP(B464,'Locales'!$A$2:$A$200,'Locales'!$B$2:$B$200),"Codigo no encontrado"))</x:f>
      </x:c>
      <x:c r="D464" s="8"/>
      <x:c r="E464" s="8"/>
      <x:c r="F464" s="8"/>
      <x:c r="G464" s="8"/>
      <x:c r="H464" s="8" t="str">
        <x:f>IF(COUNTA(D464:G464)=0,"",D464-E464-F464-G464)</x:f>
      </x:c>
      <x:c r="I464" s="5" t="str">
        <x:f>IF(H464="","Sin datos",IF(H464&lt;='Parametros'!$B$3,"Cumple","No cumple"))</x:f>
        <x:v>Sin datos</x:v>
      </x:c>
    </x:row>
    <x:row r="465">
      <x:c r="A465" s="5"/>
      <x:c r="B465" s="7"/>
      <x:c r="C465" s="5" t="str">
        <x:f>IF(B465="","",IFERROR(XLOOKUP(B465,'Locales'!$A$2:$A$200,'Locales'!$B$2:$B$200),"Codigo no encontrado"))</x:f>
      </x:c>
      <x:c r="D465" s="8"/>
      <x:c r="E465" s="8"/>
      <x:c r="F465" s="8"/>
      <x:c r="G465" s="8"/>
      <x:c r="H465" s="8" t="str">
        <x:f>IF(COUNTA(D465:G465)=0,"",D465-E465-F465-G465)</x:f>
      </x:c>
      <x:c r="I465" s="5" t="str">
        <x:f>IF(H465="","Sin datos",IF(H465&lt;='Parametros'!$B$3,"Cumple","No cumple"))</x:f>
        <x:v>Sin datos</x:v>
      </x:c>
    </x:row>
    <x:row r="466">
      <x:c r="A466" s="5"/>
      <x:c r="B466" s="7"/>
      <x:c r="C466" s="5" t="str">
        <x:f>IF(B466="","",IFERROR(XLOOKUP(B466,'Locales'!$A$2:$A$200,'Locales'!$B$2:$B$200),"Codigo no encontrado"))</x:f>
      </x:c>
      <x:c r="D466" s="8"/>
      <x:c r="E466" s="8"/>
      <x:c r="F466" s="8"/>
      <x:c r="G466" s="8"/>
      <x:c r="H466" s="8" t="str">
        <x:f>IF(COUNTA(D466:G466)=0,"",D466-E466-F466-G466)</x:f>
      </x:c>
      <x:c r="I466" s="5" t="str">
        <x:f>IF(H466="","Sin datos",IF(H466&lt;='Parametros'!$B$3,"Cumple","No cumple"))</x:f>
        <x:v>Sin datos</x:v>
      </x:c>
    </x:row>
    <x:row r="467">
      <x:c r="A467" s="5"/>
      <x:c r="B467" s="7"/>
      <x:c r="C467" s="5" t="str">
        <x:f>IF(B467="","",IFERROR(XLOOKUP(B467,'Locales'!$A$2:$A$200,'Locales'!$B$2:$B$200),"Codigo no encontrado"))</x:f>
      </x:c>
      <x:c r="D467" s="8"/>
      <x:c r="E467" s="8"/>
      <x:c r="F467" s="8"/>
      <x:c r="G467" s="8"/>
      <x:c r="H467" s="8" t="str">
        <x:f>IF(COUNTA(D467:G467)=0,"",D467-E467-F467-G467)</x:f>
      </x:c>
      <x:c r="I467" s="5" t="str">
        <x:f>IF(H467="","Sin datos",IF(H467&lt;='Parametros'!$B$3,"Cumple","No cumple"))</x:f>
        <x:v>Sin datos</x:v>
      </x:c>
    </x:row>
    <x:row r="468">
      <x:c r="A468" s="5"/>
      <x:c r="B468" s="7"/>
      <x:c r="C468" s="5" t="str">
        <x:f>IF(B468="","",IFERROR(XLOOKUP(B468,'Locales'!$A$2:$A$200,'Locales'!$B$2:$B$200),"Codigo no encontrado"))</x:f>
      </x:c>
      <x:c r="D468" s="8"/>
      <x:c r="E468" s="8"/>
      <x:c r="F468" s="8"/>
      <x:c r="G468" s="8"/>
      <x:c r="H468" s="8" t="str">
        <x:f>IF(COUNTA(D468:G468)=0,"",D468-E468-F468-G468)</x:f>
      </x:c>
      <x:c r="I468" s="5" t="str">
        <x:f>IF(H468="","Sin datos",IF(H468&lt;='Parametros'!$B$3,"Cumple","No cumple"))</x:f>
        <x:v>Sin datos</x:v>
      </x:c>
    </x:row>
    <x:row r="469">
      <x:c r="A469" s="5"/>
      <x:c r="B469" s="7"/>
      <x:c r="C469" s="5" t="str">
        <x:f>IF(B469="","",IFERROR(XLOOKUP(B469,'Locales'!$A$2:$A$200,'Locales'!$B$2:$B$200),"Codigo no encontrado"))</x:f>
      </x:c>
      <x:c r="D469" s="8"/>
      <x:c r="E469" s="8"/>
      <x:c r="F469" s="8"/>
      <x:c r="G469" s="8"/>
      <x:c r="H469" s="8" t="str">
        <x:f>IF(COUNTA(D469:G469)=0,"",D469-E469-F469-G469)</x:f>
      </x:c>
      <x:c r="I469" s="5" t="str">
        <x:f>IF(H469="","Sin datos",IF(H469&lt;='Parametros'!$B$3,"Cumple","No cumple"))</x:f>
        <x:v>Sin datos</x:v>
      </x:c>
    </x:row>
    <x:row r="470">
      <x:c r="A470" s="5"/>
      <x:c r="B470" s="7"/>
      <x:c r="C470" s="5" t="str">
        <x:f>IF(B470="","",IFERROR(XLOOKUP(B470,'Locales'!$A$2:$A$200,'Locales'!$B$2:$B$200),"Codigo no encontrado"))</x:f>
      </x:c>
      <x:c r="D470" s="8"/>
      <x:c r="E470" s="8"/>
      <x:c r="F470" s="8"/>
      <x:c r="G470" s="8"/>
      <x:c r="H470" s="8" t="str">
        <x:f>IF(COUNTA(D470:G470)=0,"",D470-E470-F470-G470)</x:f>
      </x:c>
      <x:c r="I470" s="5" t="str">
        <x:f>IF(H470="","Sin datos",IF(H470&lt;='Parametros'!$B$3,"Cumple","No cumple"))</x:f>
        <x:v>Sin datos</x:v>
      </x:c>
    </x:row>
    <x:row r="471">
      <x:c r="A471" s="5"/>
      <x:c r="B471" s="7"/>
      <x:c r="C471" s="5" t="str">
        <x:f>IF(B471="","",IFERROR(XLOOKUP(B471,'Locales'!$A$2:$A$200,'Locales'!$B$2:$B$200),"Codigo no encontrado"))</x:f>
      </x:c>
      <x:c r="D471" s="8"/>
      <x:c r="E471" s="8"/>
      <x:c r="F471" s="8"/>
      <x:c r="G471" s="8"/>
      <x:c r="H471" s="8" t="str">
        <x:f>IF(COUNTA(D471:G471)=0,"",D471-E471-F471-G471)</x:f>
      </x:c>
      <x:c r="I471" s="5" t="str">
        <x:f>IF(H471="","Sin datos",IF(H471&lt;='Parametros'!$B$3,"Cumple","No cumple"))</x:f>
        <x:v>Sin datos</x:v>
      </x:c>
    </x:row>
    <x:row r="472">
      <x:c r="A472" s="5"/>
      <x:c r="B472" s="7"/>
      <x:c r="C472" s="5" t="str">
        <x:f>IF(B472="","",IFERROR(XLOOKUP(B472,'Locales'!$A$2:$A$200,'Locales'!$B$2:$B$200),"Codigo no encontrado"))</x:f>
      </x:c>
      <x:c r="D472" s="8"/>
      <x:c r="E472" s="8"/>
      <x:c r="F472" s="8"/>
      <x:c r="G472" s="8"/>
      <x:c r="H472" s="8" t="str">
        <x:f>IF(COUNTA(D472:G472)=0,"",D472-E472-F472-G472)</x:f>
      </x:c>
      <x:c r="I472" s="5" t="str">
        <x:f>IF(H472="","Sin datos",IF(H472&lt;='Parametros'!$B$3,"Cumple","No cumple"))</x:f>
        <x:v>Sin datos</x:v>
      </x:c>
    </x:row>
    <x:row r="473">
      <x:c r="A473" s="5"/>
      <x:c r="B473" s="7"/>
      <x:c r="C473" s="5" t="str">
        <x:f>IF(B473="","",IFERROR(XLOOKUP(B473,'Locales'!$A$2:$A$200,'Locales'!$B$2:$B$200),"Codigo no encontrado"))</x:f>
      </x:c>
      <x:c r="D473" s="8"/>
      <x:c r="E473" s="8"/>
      <x:c r="F473" s="8"/>
      <x:c r="G473" s="8"/>
      <x:c r="H473" s="8" t="str">
        <x:f>IF(COUNTA(D473:G473)=0,"",D473-E473-F473-G473)</x:f>
      </x:c>
      <x:c r="I473" s="5" t="str">
        <x:f>IF(H473="","Sin datos",IF(H473&lt;='Parametros'!$B$3,"Cumple","No cumple"))</x:f>
        <x:v>Sin datos</x:v>
      </x:c>
    </x:row>
    <x:row r="474">
      <x:c r="A474" s="5"/>
      <x:c r="B474" s="7"/>
      <x:c r="C474" s="5" t="str">
        <x:f>IF(B474="","",IFERROR(XLOOKUP(B474,'Locales'!$A$2:$A$200,'Locales'!$B$2:$B$200),"Codigo no encontrado"))</x:f>
      </x:c>
      <x:c r="D474" s="8"/>
      <x:c r="E474" s="8"/>
      <x:c r="F474" s="8"/>
      <x:c r="G474" s="8"/>
      <x:c r="H474" s="8" t="str">
        <x:f>IF(COUNTA(D474:G474)=0,"",D474-E474-F474-G474)</x:f>
      </x:c>
      <x:c r="I474" s="5" t="str">
        <x:f>IF(H474="","Sin datos",IF(H474&lt;='Parametros'!$B$3,"Cumple","No cumple"))</x:f>
        <x:v>Sin datos</x:v>
      </x:c>
    </x:row>
    <x:row r="475">
      <x:c r="A475" s="5"/>
      <x:c r="B475" s="7"/>
      <x:c r="C475" s="5" t="str">
        <x:f>IF(B475="","",IFERROR(XLOOKUP(B475,'Locales'!$A$2:$A$200,'Locales'!$B$2:$B$200),"Codigo no encontrado"))</x:f>
      </x:c>
      <x:c r="D475" s="8"/>
      <x:c r="E475" s="8"/>
      <x:c r="F475" s="8"/>
      <x:c r="G475" s="8"/>
      <x:c r="H475" s="8" t="str">
        <x:f>IF(COUNTA(D475:G475)=0,"",D475-E475-F475-G475)</x:f>
      </x:c>
      <x:c r="I475" s="5" t="str">
        <x:f>IF(H475="","Sin datos",IF(H475&lt;='Parametros'!$B$3,"Cumple","No cumple"))</x:f>
        <x:v>Sin datos</x:v>
      </x:c>
    </x:row>
    <x:row r="476">
      <x:c r="A476" s="5"/>
      <x:c r="B476" s="7"/>
      <x:c r="C476" s="5" t="str">
        <x:f>IF(B476="","",IFERROR(XLOOKUP(B476,'Locales'!$A$2:$A$200,'Locales'!$B$2:$B$200),"Codigo no encontrado"))</x:f>
      </x:c>
      <x:c r="D476" s="8"/>
      <x:c r="E476" s="8"/>
      <x:c r="F476" s="8"/>
      <x:c r="G476" s="8"/>
      <x:c r="H476" s="8" t="str">
        <x:f>IF(COUNTA(D476:G476)=0,"",D476-E476-F476-G476)</x:f>
      </x:c>
      <x:c r="I476" s="5" t="str">
        <x:f>IF(H476="","Sin datos",IF(H476&lt;='Parametros'!$B$3,"Cumple","No cumple"))</x:f>
        <x:v>Sin datos</x:v>
      </x:c>
    </x:row>
    <x:row r="477">
      <x:c r="A477" s="5"/>
      <x:c r="B477" s="7"/>
      <x:c r="C477" s="5" t="str">
        <x:f>IF(B477="","",IFERROR(XLOOKUP(B477,'Locales'!$A$2:$A$200,'Locales'!$B$2:$B$200),"Codigo no encontrado"))</x:f>
      </x:c>
      <x:c r="D477" s="8"/>
      <x:c r="E477" s="8"/>
      <x:c r="F477" s="8"/>
      <x:c r="G477" s="8"/>
      <x:c r="H477" s="8" t="str">
        <x:f>IF(COUNTA(D477:G477)=0,"",D477-E477-F477-G477)</x:f>
      </x:c>
      <x:c r="I477" s="5" t="str">
        <x:f>IF(H477="","Sin datos",IF(H477&lt;='Parametros'!$B$3,"Cumple","No cumple"))</x:f>
        <x:v>Sin datos</x:v>
      </x:c>
    </x:row>
    <x:row r="478">
      <x:c r="A478" s="5"/>
      <x:c r="B478" s="7"/>
      <x:c r="C478" s="5" t="str">
        <x:f>IF(B478="","",IFERROR(XLOOKUP(B478,'Locales'!$A$2:$A$200,'Locales'!$B$2:$B$200),"Codigo no encontrado"))</x:f>
      </x:c>
      <x:c r="D478" s="8"/>
      <x:c r="E478" s="8"/>
      <x:c r="F478" s="8"/>
      <x:c r="G478" s="8"/>
      <x:c r="H478" s="8" t="str">
        <x:f>IF(COUNTA(D478:G478)=0,"",D478-E478-F478-G478)</x:f>
      </x:c>
      <x:c r="I478" s="5" t="str">
        <x:f>IF(H478="","Sin datos",IF(H478&lt;='Parametros'!$B$3,"Cumple","No cumple"))</x:f>
        <x:v>Sin datos</x:v>
      </x:c>
    </x:row>
    <x:row r="479">
      <x:c r="A479" s="5"/>
      <x:c r="B479" s="7"/>
      <x:c r="C479" s="5" t="str">
        <x:f>IF(B479="","",IFERROR(XLOOKUP(B479,'Locales'!$A$2:$A$200,'Locales'!$B$2:$B$200),"Codigo no encontrado"))</x:f>
      </x:c>
      <x:c r="D479" s="8"/>
      <x:c r="E479" s="8"/>
      <x:c r="F479" s="8"/>
      <x:c r="G479" s="8"/>
      <x:c r="H479" s="8" t="str">
        <x:f>IF(COUNTA(D479:G479)=0,"",D479-E479-F479-G479)</x:f>
      </x:c>
      <x:c r="I479" s="5" t="str">
        <x:f>IF(H479="","Sin datos",IF(H479&lt;='Parametros'!$B$3,"Cumple","No cumple"))</x:f>
        <x:v>Sin datos</x:v>
      </x:c>
    </x:row>
    <x:row r="480">
      <x:c r="A480" s="5"/>
      <x:c r="B480" s="7"/>
      <x:c r="C480" s="5" t="str">
        <x:f>IF(B480="","",IFERROR(XLOOKUP(B480,'Locales'!$A$2:$A$200,'Locales'!$B$2:$B$200),"Codigo no encontrado"))</x:f>
      </x:c>
      <x:c r="D480" s="8"/>
      <x:c r="E480" s="8"/>
      <x:c r="F480" s="8"/>
      <x:c r="G480" s="8"/>
      <x:c r="H480" s="8" t="str">
        <x:f>IF(COUNTA(D480:G480)=0,"",D480-E480-F480-G480)</x:f>
      </x:c>
      <x:c r="I480" s="5" t="str">
        <x:f>IF(H480="","Sin datos",IF(H480&lt;='Parametros'!$B$3,"Cumple","No cumple"))</x:f>
        <x:v>Sin datos</x:v>
      </x:c>
    </x:row>
    <x:row r="481">
      <x:c r="A481" s="5"/>
      <x:c r="B481" s="7"/>
      <x:c r="C481" s="5" t="str">
        <x:f>IF(B481="","",IFERROR(XLOOKUP(B481,'Locales'!$A$2:$A$200,'Locales'!$B$2:$B$200),"Codigo no encontrado"))</x:f>
      </x:c>
      <x:c r="D481" s="8"/>
      <x:c r="E481" s="8"/>
      <x:c r="F481" s="8"/>
      <x:c r="G481" s="8"/>
      <x:c r="H481" s="8" t="str">
        <x:f>IF(COUNTA(D481:G481)=0,"",D481-E481-F481-G481)</x:f>
      </x:c>
      <x:c r="I481" s="5" t="str">
        <x:f>IF(H481="","Sin datos",IF(H481&lt;='Parametros'!$B$3,"Cumple","No cumple"))</x:f>
        <x:v>Sin datos</x:v>
      </x:c>
    </x:row>
    <x:row r="482">
      <x:c r="A482" s="5"/>
      <x:c r="B482" s="7"/>
      <x:c r="C482" s="5" t="str">
        <x:f>IF(B482="","",IFERROR(XLOOKUP(B482,'Locales'!$A$2:$A$200,'Locales'!$B$2:$B$200),"Codigo no encontrado"))</x:f>
      </x:c>
      <x:c r="D482" s="8"/>
      <x:c r="E482" s="8"/>
      <x:c r="F482" s="8"/>
      <x:c r="G482" s="8"/>
      <x:c r="H482" s="8" t="str">
        <x:f>IF(COUNTA(D482:G482)=0,"",D482-E482-F482-G482)</x:f>
      </x:c>
      <x:c r="I482" s="5" t="str">
        <x:f>IF(H482="","Sin datos",IF(H482&lt;='Parametros'!$B$3,"Cumple","No cumple"))</x:f>
        <x:v>Sin datos</x:v>
      </x:c>
    </x:row>
    <x:row r="483">
      <x:c r="A483" s="5"/>
      <x:c r="B483" s="7"/>
      <x:c r="C483" s="5" t="str">
        <x:f>IF(B483="","",IFERROR(XLOOKUP(B483,'Locales'!$A$2:$A$200,'Locales'!$B$2:$B$200),"Codigo no encontrado"))</x:f>
      </x:c>
      <x:c r="D483" s="8"/>
      <x:c r="E483" s="8"/>
      <x:c r="F483" s="8"/>
      <x:c r="G483" s="8"/>
      <x:c r="H483" s="8" t="str">
        <x:f>IF(COUNTA(D483:G483)=0,"",D483-E483-F483-G483)</x:f>
      </x:c>
      <x:c r="I483" s="5" t="str">
        <x:f>IF(H483="","Sin datos",IF(H483&lt;='Parametros'!$B$3,"Cumple","No cumple"))</x:f>
        <x:v>Sin datos</x:v>
      </x:c>
    </x:row>
    <x:row r="484">
      <x:c r="A484" s="5"/>
      <x:c r="B484" s="7"/>
      <x:c r="C484" s="5" t="str">
        <x:f>IF(B484="","",IFERROR(XLOOKUP(B484,'Locales'!$A$2:$A$200,'Locales'!$B$2:$B$200),"Codigo no encontrado"))</x:f>
      </x:c>
      <x:c r="D484" s="8"/>
      <x:c r="E484" s="8"/>
      <x:c r="F484" s="8"/>
      <x:c r="G484" s="8"/>
      <x:c r="H484" s="8" t="str">
        <x:f>IF(COUNTA(D484:G484)=0,"",D484-E484-F484-G484)</x:f>
      </x:c>
      <x:c r="I484" s="5" t="str">
        <x:f>IF(H484="","Sin datos",IF(H484&lt;='Parametros'!$B$3,"Cumple","No cumple"))</x:f>
        <x:v>Sin datos</x:v>
      </x:c>
    </x:row>
    <x:row r="485">
      <x:c r="A485" s="5"/>
      <x:c r="B485" s="7"/>
      <x:c r="C485" s="5" t="str">
        <x:f>IF(B485="","",IFERROR(XLOOKUP(B485,'Locales'!$A$2:$A$200,'Locales'!$B$2:$B$200),"Codigo no encontrado"))</x:f>
      </x:c>
      <x:c r="D485" s="8"/>
      <x:c r="E485" s="8"/>
      <x:c r="F485" s="8"/>
      <x:c r="G485" s="8"/>
      <x:c r="H485" s="8" t="str">
        <x:f>IF(COUNTA(D485:G485)=0,"",D485-E485-F485-G485)</x:f>
      </x:c>
      <x:c r="I485" s="5" t="str">
        <x:f>IF(H485="","Sin datos",IF(H485&lt;='Parametros'!$B$3,"Cumple","No cumple"))</x:f>
        <x:v>Sin datos</x:v>
      </x:c>
    </x:row>
    <x:row r="486">
      <x:c r="A486" s="5"/>
      <x:c r="B486" s="7"/>
      <x:c r="C486" s="5" t="str">
        <x:f>IF(B486="","",IFERROR(XLOOKUP(B486,'Locales'!$A$2:$A$200,'Locales'!$B$2:$B$200),"Codigo no encontrado"))</x:f>
      </x:c>
      <x:c r="D486" s="8"/>
      <x:c r="E486" s="8"/>
      <x:c r="F486" s="8"/>
      <x:c r="G486" s="8"/>
      <x:c r="H486" s="8" t="str">
        <x:f>IF(COUNTA(D486:G486)=0,"",D486-E486-F486-G486)</x:f>
      </x:c>
      <x:c r="I486" s="5" t="str">
        <x:f>IF(H486="","Sin datos",IF(H486&lt;='Parametros'!$B$3,"Cumple","No cumple"))</x:f>
        <x:v>Sin datos</x:v>
      </x:c>
    </x:row>
    <x:row r="487">
      <x:c r="A487" s="5"/>
      <x:c r="B487" s="7"/>
      <x:c r="C487" s="5" t="str">
        <x:f>IF(B487="","",IFERROR(XLOOKUP(B487,'Locales'!$A$2:$A$200,'Locales'!$B$2:$B$200),"Codigo no encontrado"))</x:f>
      </x:c>
      <x:c r="D487" s="8"/>
      <x:c r="E487" s="8"/>
      <x:c r="F487" s="8"/>
      <x:c r="G487" s="8"/>
      <x:c r="H487" s="8" t="str">
        <x:f>IF(COUNTA(D487:G487)=0,"",D487-E487-F487-G487)</x:f>
      </x:c>
      <x:c r="I487" s="5" t="str">
        <x:f>IF(H487="","Sin datos",IF(H487&lt;='Parametros'!$B$3,"Cumple","No cumple"))</x:f>
        <x:v>Sin datos</x:v>
      </x:c>
    </x:row>
    <x:row r="488">
      <x:c r="A488" s="5"/>
      <x:c r="B488" s="7"/>
      <x:c r="C488" s="5" t="str">
        <x:f>IF(B488="","",IFERROR(XLOOKUP(B488,'Locales'!$A$2:$A$200,'Locales'!$B$2:$B$200),"Codigo no encontrado"))</x:f>
      </x:c>
      <x:c r="D488" s="8"/>
      <x:c r="E488" s="8"/>
      <x:c r="F488" s="8"/>
      <x:c r="G488" s="8"/>
      <x:c r="H488" s="8" t="str">
        <x:f>IF(COUNTA(D488:G488)=0,"",D488-E488-F488-G488)</x:f>
      </x:c>
      <x:c r="I488" s="5" t="str">
        <x:f>IF(H488="","Sin datos",IF(H488&lt;='Parametros'!$B$3,"Cumple","No cumple"))</x:f>
        <x:v>Sin datos</x:v>
      </x:c>
    </x:row>
    <x:row r="489">
      <x:c r="A489" s="5"/>
      <x:c r="B489" s="7"/>
      <x:c r="C489" s="5" t="str">
        <x:f>IF(B489="","",IFERROR(XLOOKUP(B489,'Locales'!$A$2:$A$200,'Locales'!$B$2:$B$200),"Codigo no encontrado"))</x:f>
      </x:c>
      <x:c r="D489" s="8"/>
      <x:c r="E489" s="8"/>
      <x:c r="F489" s="8"/>
      <x:c r="G489" s="8"/>
      <x:c r="H489" s="8" t="str">
        <x:f>IF(COUNTA(D489:G489)=0,"",D489-E489-F489-G489)</x:f>
      </x:c>
      <x:c r="I489" s="5" t="str">
        <x:f>IF(H489="","Sin datos",IF(H489&lt;='Parametros'!$B$3,"Cumple","No cumple"))</x:f>
        <x:v>Sin datos</x:v>
      </x:c>
    </x:row>
    <x:row r="490">
      <x:c r="A490" s="5"/>
      <x:c r="B490" s="7"/>
      <x:c r="C490" s="5" t="str">
        <x:f>IF(B490="","",IFERROR(XLOOKUP(B490,'Locales'!$A$2:$A$200,'Locales'!$B$2:$B$200),"Codigo no encontrado"))</x:f>
      </x:c>
      <x:c r="D490" s="8"/>
      <x:c r="E490" s="8"/>
      <x:c r="F490" s="8"/>
      <x:c r="G490" s="8"/>
      <x:c r="H490" s="8" t="str">
        <x:f>IF(COUNTA(D490:G490)=0,"",D490-E490-F490-G490)</x:f>
      </x:c>
      <x:c r="I490" s="5" t="str">
        <x:f>IF(H490="","Sin datos",IF(H490&lt;='Parametros'!$B$3,"Cumple","No cumple"))</x:f>
        <x:v>Sin datos</x:v>
      </x:c>
    </x:row>
    <x:row r="491">
      <x:c r="A491" s="5"/>
      <x:c r="B491" s="7"/>
      <x:c r="C491" s="5" t="str">
        <x:f>IF(B491="","",IFERROR(XLOOKUP(B491,'Locales'!$A$2:$A$200,'Locales'!$B$2:$B$200),"Codigo no encontrado"))</x:f>
      </x:c>
      <x:c r="D491" s="8"/>
      <x:c r="E491" s="8"/>
      <x:c r="F491" s="8"/>
      <x:c r="G491" s="8"/>
      <x:c r="H491" s="8" t="str">
        <x:f>IF(COUNTA(D491:G491)=0,"",D491-E491-F491-G491)</x:f>
      </x:c>
      <x:c r="I491" s="5" t="str">
        <x:f>IF(H491="","Sin datos",IF(H491&lt;='Parametros'!$B$3,"Cumple","No cumple"))</x:f>
        <x:v>Sin datos</x:v>
      </x:c>
    </x:row>
    <x:row r="492">
      <x:c r="A492" s="5"/>
      <x:c r="B492" s="7"/>
      <x:c r="C492" s="5" t="str">
        <x:f>IF(B492="","",IFERROR(XLOOKUP(B492,'Locales'!$A$2:$A$200,'Locales'!$B$2:$B$200),"Codigo no encontrado"))</x:f>
      </x:c>
      <x:c r="D492" s="8"/>
      <x:c r="E492" s="8"/>
      <x:c r="F492" s="8"/>
      <x:c r="G492" s="8"/>
      <x:c r="H492" s="8" t="str">
        <x:f>IF(COUNTA(D492:G492)=0,"",D492-E492-F492-G492)</x:f>
      </x:c>
      <x:c r="I492" s="5" t="str">
        <x:f>IF(H492="","Sin datos",IF(H492&lt;='Parametros'!$B$3,"Cumple","No cumple"))</x:f>
        <x:v>Sin datos</x:v>
      </x:c>
    </x:row>
    <x:row r="493">
      <x:c r="A493" s="5"/>
      <x:c r="B493" s="7"/>
      <x:c r="C493" s="5" t="str">
        <x:f>IF(B493="","",IFERROR(XLOOKUP(B493,'Locales'!$A$2:$A$200,'Locales'!$B$2:$B$200),"Codigo no encontrado"))</x:f>
      </x:c>
      <x:c r="D493" s="8"/>
      <x:c r="E493" s="8"/>
      <x:c r="F493" s="8"/>
      <x:c r="G493" s="8"/>
      <x:c r="H493" s="8" t="str">
        <x:f>IF(COUNTA(D493:G493)=0,"",D493-E493-F493-G493)</x:f>
      </x:c>
      <x:c r="I493" s="5" t="str">
        <x:f>IF(H493="","Sin datos",IF(H493&lt;='Parametros'!$B$3,"Cumple","No cumple"))</x:f>
        <x:v>Sin datos</x:v>
      </x:c>
    </x:row>
    <x:row r="494">
      <x:c r="A494" s="5"/>
      <x:c r="B494" s="7"/>
      <x:c r="C494" s="5" t="str">
        <x:f>IF(B494="","",IFERROR(XLOOKUP(B494,'Locales'!$A$2:$A$200,'Locales'!$B$2:$B$200),"Codigo no encontrado"))</x:f>
      </x:c>
      <x:c r="D494" s="8"/>
      <x:c r="E494" s="8"/>
      <x:c r="F494" s="8"/>
      <x:c r="G494" s="8"/>
      <x:c r="H494" s="8" t="str">
        <x:f>IF(COUNTA(D494:G494)=0,"",D494-E494-F494-G494)</x:f>
      </x:c>
      <x:c r="I494" s="5" t="str">
        <x:f>IF(H494="","Sin datos",IF(H494&lt;='Parametros'!$B$3,"Cumple","No cumple"))</x:f>
        <x:v>Sin datos</x:v>
      </x:c>
    </x:row>
    <x:row r="495">
      <x:c r="A495" s="5"/>
      <x:c r="B495" s="7"/>
      <x:c r="C495" s="5" t="str">
        <x:f>IF(B495="","",IFERROR(XLOOKUP(B495,'Locales'!$A$2:$A$200,'Locales'!$B$2:$B$200),"Codigo no encontrado"))</x:f>
      </x:c>
      <x:c r="D495" s="8"/>
      <x:c r="E495" s="8"/>
      <x:c r="F495" s="8"/>
      <x:c r="G495" s="8"/>
      <x:c r="H495" s="8" t="str">
        <x:f>IF(COUNTA(D495:G495)=0,"",D495-E495-F495-G495)</x:f>
      </x:c>
      <x:c r="I495" s="5" t="str">
        <x:f>IF(H495="","Sin datos",IF(H495&lt;='Parametros'!$B$3,"Cumple","No cumple"))</x:f>
        <x:v>Sin datos</x:v>
      </x:c>
    </x:row>
    <x:row r="496">
      <x:c r="A496" s="5"/>
      <x:c r="B496" s="7"/>
      <x:c r="C496" s="5" t="str">
        <x:f>IF(B496="","",IFERROR(XLOOKUP(B496,'Locales'!$A$2:$A$200,'Locales'!$B$2:$B$200),"Codigo no encontrado"))</x:f>
      </x:c>
      <x:c r="D496" s="8"/>
      <x:c r="E496" s="8"/>
      <x:c r="F496" s="8"/>
      <x:c r="G496" s="8"/>
      <x:c r="H496" s="8" t="str">
        <x:f>IF(COUNTA(D496:G496)=0,"",D496-E496-F496-G496)</x:f>
      </x:c>
      <x:c r="I496" s="5" t="str">
        <x:f>IF(H496="","Sin datos",IF(H496&lt;='Parametros'!$B$3,"Cumple","No cumple"))</x:f>
        <x:v>Sin datos</x:v>
      </x:c>
    </x:row>
    <x:row r="497">
      <x:c r="A497" s="5"/>
      <x:c r="B497" s="7"/>
      <x:c r="C497" s="5" t="str">
        <x:f>IF(B497="","",IFERROR(XLOOKUP(B497,'Locales'!$A$2:$A$200,'Locales'!$B$2:$B$200),"Codigo no encontrado"))</x:f>
      </x:c>
      <x:c r="D497" s="8"/>
      <x:c r="E497" s="8"/>
      <x:c r="F497" s="8"/>
      <x:c r="G497" s="8"/>
      <x:c r="H497" s="8" t="str">
        <x:f>IF(COUNTA(D497:G497)=0,"",D497-E497-F497-G497)</x:f>
      </x:c>
      <x:c r="I497" s="5" t="str">
        <x:f>IF(H497="","Sin datos",IF(H497&lt;='Parametros'!$B$3,"Cumple","No cumple"))</x:f>
        <x:v>Sin datos</x:v>
      </x:c>
    </x:row>
    <x:row r="498">
      <x:c r="A498" s="5"/>
      <x:c r="B498" s="7"/>
      <x:c r="C498" s="5" t="str">
        <x:f>IF(B498="","",IFERROR(XLOOKUP(B498,'Locales'!$A$2:$A$200,'Locales'!$B$2:$B$200),"Codigo no encontrado"))</x:f>
      </x:c>
      <x:c r="D498" s="8"/>
      <x:c r="E498" s="8"/>
      <x:c r="F498" s="8"/>
      <x:c r="G498" s="8"/>
      <x:c r="H498" s="8" t="str">
        <x:f>IF(COUNTA(D498:G498)=0,"",D498-E498-F498-G498)</x:f>
      </x:c>
      <x:c r="I498" s="5" t="str">
        <x:f>IF(H498="","Sin datos",IF(H498&lt;='Parametros'!$B$3,"Cumple","No cumple"))</x:f>
        <x:v>Sin datos</x:v>
      </x:c>
    </x:row>
    <x:row r="499">
      <x:c r="A499" s="5"/>
      <x:c r="B499" s="7"/>
      <x:c r="C499" s="5" t="str">
        <x:f>IF(B499="","",IFERROR(XLOOKUP(B499,'Locales'!$A$2:$A$200,'Locales'!$B$2:$B$200),"Codigo no encontrado"))</x:f>
      </x:c>
      <x:c r="D499" s="8"/>
      <x:c r="E499" s="8"/>
      <x:c r="F499" s="8"/>
      <x:c r="G499" s="8"/>
      <x:c r="H499" s="8" t="str">
        <x:f>IF(COUNTA(D499:G499)=0,"",D499-E499-F499-G499)</x:f>
      </x:c>
      <x:c r="I499" s="5" t="str">
        <x:f>IF(H499="","Sin datos",IF(H499&lt;='Parametros'!$B$3,"Cumple","No cumple"))</x:f>
        <x:v>Sin datos</x:v>
      </x:c>
    </x:row>
    <x:row r="500">
      <x:c r="A500" s="5"/>
      <x:c r="B500" s="7"/>
      <x:c r="C500" s="5" t="str">
        <x:f>IF(B500="","",IFERROR(XLOOKUP(B500,'Locales'!$A$2:$A$200,'Locales'!$B$2:$B$200),"Codigo no encontrado"))</x:f>
      </x:c>
      <x:c r="D500" s="8"/>
      <x:c r="E500" s="8"/>
      <x:c r="F500" s="8"/>
      <x:c r="G500" s="8"/>
      <x:c r="H500" s="8" t="str">
        <x:f>IF(COUNTA(D500:G500)=0,"",D500-E500-F500-G500)</x:f>
      </x:c>
      <x:c r="I500" s="5" t="str">
        <x:f>IF(H500="","Sin datos",IF(H500&lt;='Parametros'!$B$3,"Cumple","No cumple"))</x:f>
        <x:v>Sin datos</x:v>
      </x:c>
    </x:row>
  </x:sheetData>
  <x:dataValidations count="1">
    <x:dataValidation type="list" sqref="A2:A500">
      <x:formula1>"Semana 1 al 07-08,Semana 8 al 14-08,Semana 15 al 21-08,Semana 22 al 28-08,Semana 29 al 31-08"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</x:cols>
  <x:sheetData>
    <x:row r="1">
      <x:c r="A1" s="6" t="str">
        <x:v>Codigo</x:v>
      </x:c>
      <x:c r="B1" s="3" t="str">
        <x:v>Tienda</x:v>
      </x:c>
    </x:row>
    <x:row r="2">
      <x:c r="A2" s="5" t="str">
        <x:v>12017</x:v>
      </x:c>
      <x:c r="B2" s="5" t="str">
        <x:v>Apumanque</x:v>
      </x:c>
    </x:row>
    <x:row r="3">
      <x:c r="A3" s="5" t="str">
        <x:v>31866</x:v>
      </x:c>
      <x:c r="B3" s="5" t="str">
        <x:v>Arauco Chillan</x:v>
      </x:c>
    </x:row>
    <x:row r="4">
      <x:c r="A4" s="5" t="str">
        <x:v>15886</x:v>
      </x:c>
      <x:c r="B4" s="5" t="str">
        <x:v>El Faro Fc</x:v>
      </x:c>
    </x:row>
    <x:row r="5">
      <x:c r="A5" s="5" t="str">
        <x:v>14756</x:v>
      </x:c>
      <x:c r="B5" s="5" t="str">
        <x:v>Florida Center</x:v>
      </x:c>
    </x:row>
    <x:row r="6">
      <x:c r="A6" s="5" t="str">
        <x:v>8965</x:v>
      </x:c>
      <x:c r="B6" s="5" t="str">
        <x:v>Irarrazaval Fs</x:v>
      </x:c>
    </x:row>
    <x:row r="7">
      <x:c r="A7" s="5" t="str">
        <x:v>32047</x:v>
      </x:c>
      <x:c r="B7" s="5" t="str">
        <x:v>Irarrazaval Poniente</x:v>
      </x:c>
    </x:row>
    <x:row r="8">
      <x:c r="A8" s="5" t="str">
        <x:v>23602</x:v>
      </x:c>
      <x:c r="B8" s="5" t="str">
        <x:v>Mall Concepcion</x:v>
      </x:c>
    </x:row>
    <x:row r="9">
      <x:c r="A9" s="5" t="str">
        <x:v>30181</x:v>
      </x:c>
      <x:c r="B9" s="5" t="str">
        <x:v>Mall Plaza Los Angeles</x:v>
      </x:c>
    </x:row>
    <x:row r="10">
      <x:c r="A10" s="5" t="str">
        <x:v>18690</x:v>
      </x:c>
      <x:c r="B10" s="5" t="str">
        <x:v>Plaza Bio Bio</x:v>
      </x:c>
    </x:row>
    <x:row r="11">
      <x:c r="A11" s="5" t="str">
        <x:v>18174</x:v>
      </x:c>
      <x:c r="B11" s="5" t="str">
        <x:v>Plaza Trebol</x:v>
      </x:c>
    </x:row>
    <x:row r="12">
      <x:c r="A12" s="5" t="str">
        <x:v>14086</x:v>
      </x:c>
      <x:c r="B12" s="5" t="str">
        <x:v>Plaza Vespucio</x:v>
      </x:c>
    </x:row>
    <x:row r="13">
      <x:c r="A13" s="5" t="str">
        <x:v>16284</x:v>
      </x:c>
      <x:c r="B13" s="5" t="str">
        <x:v>Los Andes Fc</x:v>
      </x:c>
    </x:row>
    <x:row r="14">
      <x:c r="A14" s="5" t="str">
        <x:v>32403</x:v>
      </x:c>
      <x:c r="B14" s="5" t="str">
        <x:v>Chamisero</x:v>
      </x:c>
    </x:row>
    <x:row r="15">
      <x:c r="A15" s="5"/>
      <x:c r="B15" s="5"/>
    </x:row>
    <x:row r="16">
      <x:c r="A16" s="5"/>
      <x:c r="B16" s="5"/>
    </x:row>
    <x:row r="17">
      <x:c r="A17" s="5"/>
      <x:c r="B17" s="5"/>
    </x:row>
    <x:row r="18">
      <x:c r="A18" s="5"/>
      <x:c r="B18" s="5"/>
    </x:row>
    <x:row r="19">
      <x:c r="A19" s="5"/>
      <x:c r="B19" s="5"/>
    </x:row>
    <x:row r="20">
      <x:c r="A20" s="5"/>
      <x:c r="B20" s="5"/>
    </x:row>
    <x:row r="21">
      <x:c r="A21" s="5"/>
      <x:c r="B21" s="5"/>
    </x:row>
    <x:row r="22">
      <x:c r="A22" s="5"/>
      <x:c r="B22" s="5"/>
    </x:row>
    <x:row r="23">
      <x:c r="A23" s="5"/>
      <x:c r="B23" s="5"/>
    </x:row>
    <x:row r="24">
      <x:c r="A24" s="5"/>
      <x:c r="B24" s="5"/>
    </x:row>
    <x:row r="25">
      <x:c r="A25" s="5"/>
      <x:c r="B25" s="5"/>
    </x:row>
    <x:row r="26">
      <x:c r="A26" s="5"/>
      <x:c r="B26" s="5"/>
    </x:row>
    <x:row r="27">
      <x:c r="A27" s="5"/>
      <x:c r="B27" s="5"/>
    </x:row>
    <x:row r="28">
      <x:c r="A28" s="5"/>
      <x:c r="B28" s="5"/>
    </x:row>
    <x:row r="29">
      <x:c r="A29" s="5"/>
      <x:c r="B29" s="5"/>
    </x:row>
    <x:row r="30">
      <x:c r="A30" s="5"/>
      <x:c r="B30" s="5"/>
    </x:row>
    <x:row r="31">
      <x:c r="A31" s="5"/>
      <x:c r="B31" s="5"/>
    </x:row>
    <x:row r="32">
      <x:c r="A32" s="5"/>
      <x:c r="B32" s="5"/>
    </x:row>
    <x:row r="33">
      <x:c r="A33" s="5"/>
      <x:c r="B33" s="5"/>
    </x:row>
    <x:row r="34">
      <x:c r="A34" s="5"/>
      <x:c r="B34" s="5"/>
    </x:row>
    <x:row r="35">
      <x:c r="A35" s="5"/>
      <x:c r="B35" s="5"/>
    </x:row>
    <x:row r="36">
      <x:c r="A36" s="5"/>
      <x:c r="B36" s="5"/>
    </x:row>
    <x:row r="37">
      <x:c r="A37" s="5"/>
      <x:c r="B37" s="5"/>
    </x:row>
    <x:row r="38">
      <x:c r="A38" s="5"/>
      <x:c r="B38" s="5"/>
    </x:row>
    <x:row r="39">
      <x:c r="A39" s="5"/>
      <x:c r="B39" s="5"/>
    </x:row>
    <x:row r="40">
      <x:c r="A40" s="5"/>
      <x:c r="B40" s="5"/>
    </x:row>
    <x:row r="41">
      <x:c r="A41" s="5"/>
      <x:c r="B41" s="5"/>
    </x:row>
    <x:row r="42">
      <x:c r="A42" s="5"/>
      <x:c r="B42" s="5"/>
    </x:row>
    <x:row r="43">
      <x:c r="A43" s="5"/>
      <x:c r="B43" s="5"/>
    </x:row>
    <x:row r="44">
      <x:c r="A44" s="5"/>
      <x:c r="B44" s="5"/>
    </x:row>
    <x:row r="45">
      <x:c r="A45" s="5"/>
      <x:c r="B45" s="5"/>
    </x:row>
    <x:row r="46">
      <x:c r="A46" s="5"/>
      <x:c r="B46" s="5"/>
    </x:row>
    <x:row r="47">
      <x:c r="A47" s="5"/>
      <x:c r="B47" s="5"/>
    </x:row>
    <x:row r="48">
      <x:c r="A48" s="5"/>
      <x:c r="B48" s="5"/>
    </x:row>
    <x:row r="49">
      <x:c r="A49" s="5"/>
      <x:c r="B49" s="5"/>
    </x:row>
    <x:row r="50">
      <x:c r="A50" s="5"/>
      <x:c r="B50" s="5"/>
    </x:row>
    <x:row r="51">
      <x:c r="A51" s="5"/>
      <x:c r="B51" s="5"/>
    </x:row>
    <x:row r="52">
      <x:c r="A52" s="5"/>
      <x:c r="B52" s="5"/>
    </x:row>
    <x:row r="53">
      <x:c r="A53" s="5"/>
      <x:c r="B53" s="5"/>
    </x:row>
    <x:row r="54">
      <x:c r="A54" s="5"/>
      <x:c r="B54" s="5"/>
    </x:row>
    <x:row r="55">
      <x:c r="A55" s="5"/>
      <x:c r="B55" s="5"/>
    </x:row>
    <x:row r="56">
      <x:c r="A56" s="5"/>
      <x:c r="B56" s="5"/>
    </x:row>
    <x:row r="57">
      <x:c r="A57" s="5"/>
      <x:c r="B57" s="5"/>
    </x:row>
    <x:row r="58">
      <x:c r="A58" s="5"/>
      <x:c r="B58" s="5"/>
    </x:row>
    <x:row r="59">
      <x:c r="A59" s="5"/>
      <x:c r="B59" s="5"/>
    </x:row>
    <x:row r="60">
      <x:c r="A60" s="5"/>
      <x:c r="B60" s="5"/>
    </x:row>
    <x:row r="61">
      <x:c r="A61" s="5"/>
      <x:c r="B61" s="5"/>
    </x:row>
    <x:row r="62">
      <x:c r="A62" s="5"/>
      <x:c r="B62" s="5"/>
    </x:row>
    <x:row r="63">
      <x:c r="A63" s="5"/>
      <x:c r="B63" s="5"/>
    </x:row>
    <x:row r="64">
      <x:c r="A64" s="5"/>
      <x:c r="B64" s="5"/>
    </x:row>
    <x:row r="65">
      <x:c r="A65" s="5"/>
      <x:c r="B65" s="5"/>
    </x:row>
    <x:row r="66">
      <x:c r="A66" s="5"/>
      <x:c r="B66" s="5"/>
    </x:row>
    <x:row r="67">
      <x:c r="A67" s="5"/>
      <x:c r="B67" s="5"/>
    </x:row>
    <x:row r="68">
      <x:c r="A68" s="5"/>
      <x:c r="B68" s="5"/>
    </x:row>
    <x:row r="69">
      <x:c r="A69" s="5"/>
      <x:c r="B69" s="5"/>
    </x:row>
    <x:row r="70">
      <x:c r="A70" s="5"/>
      <x:c r="B70" s="5"/>
    </x:row>
    <x:row r="71">
      <x:c r="A71" s="5"/>
      <x:c r="B71" s="5"/>
    </x:row>
    <x:row r="72">
      <x:c r="A72" s="5"/>
      <x:c r="B72" s="5"/>
    </x:row>
    <x:row r="73">
      <x:c r="A73" s="5"/>
      <x:c r="B73" s="5"/>
    </x:row>
    <x:row r="74">
      <x:c r="A74" s="5"/>
      <x:c r="B74" s="5"/>
    </x:row>
    <x:row r="75">
      <x:c r="A75" s="5"/>
      <x:c r="B75" s="5"/>
    </x:row>
    <x:row r="76">
      <x:c r="A76" s="5"/>
      <x:c r="B76" s="5"/>
    </x:row>
    <x:row r="77">
      <x:c r="A77" s="5"/>
      <x:c r="B77" s="5"/>
    </x:row>
    <x:row r="78">
      <x:c r="A78" s="5"/>
      <x:c r="B78" s="5"/>
    </x:row>
    <x:row r="79">
      <x:c r="A79" s="5"/>
      <x:c r="B79" s="5"/>
    </x:row>
    <x:row r="80">
      <x:c r="A80" s="5"/>
      <x:c r="B80" s="5"/>
    </x:row>
    <x:row r="81">
      <x:c r="A81" s="5"/>
      <x:c r="B81" s="5"/>
    </x:row>
    <x:row r="82">
      <x:c r="A82" s="5"/>
      <x:c r="B82" s="5"/>
    </x:row>
    <x:row r="83">
      <x:c r="A83" s="5"/>
      <x:c r="B83" s="5"/>
    </x:row>
    <x:row r="84">
      <x:c r="A84" s="5"/>
      <x:c r="B84" s="5"/>
    </x:row>
    <x:row r="85">
      <x:c r="A85" s="5"/>
      <x:c r="B85" s="5"/>
    </x:row>
    <x:row r="86">
      <x:c r="A86" s="5"/>
      <x:c r="B86" s="5"/>
    </x:row>
    <x:row r="87">
      <x:c r="A87" s="5"/>
      <x:c r="B87" s="5"/>
    </x:row>
    <x:row r="88">
      <x:c r="A88" s="5"/>
      <x:c r="B88" s="5"/>
    </x:row>
    <x:row r="89">
      <x:c r="A89" s="5"/>
      <x:c r="B89" s="5"/>
    </x:row>
    <x:row r="90">
      <x:c r="A90" s="5"/>
      <x:c r="B90" s="5"/>
    </x:row>
    <x:row r="91">
      <x:c r="A91" s="5"/>
      <x:c r="B91" s="5"/>
    </x:row>
    <x:row r="92">
      <x:c r="A92" s="5"/>
      <x:c r="B92" s="5"/>
    </x:row>
    <x:row r="93">
      <x:c r="A93" s="5"/>
      <x:c r="B93" s="5"/>
    </x:row>
    <x:row r="94">
      <x:c r="A94" s="5"/>
      <x:c r="B94" s="5"/>
    </x:row>
    <x:row r="95">
      <x:c r="A95" s="5"/>
      <x:c r="B95" s="5"/>
    </x:row>
    <x:row r="96">
      <x:c r="A96" s="5"/>
      <x:c r="B96" s="5"/>
    </x:row>
    <x:row r="97">
      <x:c r="A97" s="5"/>
      <x:c r="B97" s="5"/>
    </x:row>
    <x:row r="98">
      <x:c r="A98" s="5"/>
      <x:c r="B98" s="5"/>
    </x:row>
    <x:row r="99">
      <x:c r="A99" s="5"/>
      <x:c r="B99" s="5"/>
    </x:row>
    <x:row r="100">
      <x:c r="A100" s="5"/>
      <x:c r="B100" s="5"/>
    </x:row>
    <x:row r="101">
      <x:c r="A101" s="5"/>
      <x:c r="B101" s="5"/>
    </x:row>
    <x:row r="102">
      <x:c r="A102" s="5"/>
      <x:c r="B102" s="5"/>
    </x:row>
    <x:row r="103">
      <x:c r="A103" s="5"/>
      <x:c r="B103" s="5"/>
    </x:row>
    <x:row r="104">
      <x:c r="A104" s="5"/>
      <x:c r="B104" s="5"/>
    </x:row>
    <x:row r="105">
      <x:c r="A105" s="5"/>
      <x:c r="B105" s="5"/>
    </x:row>
    <x:row r="106">
      <x:c r="A106" s="5"/>
      <x:c r="B106" s="5"/>
    </x:row>
    <x:row r="107">
      <x:c r="A107" s="5"/>
      <x:c r="B107" s="5"/>
    </x:row>
    <x:row r="108">
      <x:c r="A108" s="5"/>
      <x:c r="B108" s="5"/>
    </x:row>
    <x:row r="109">
      <x:c r="A109" s="5"/>
      <x:c r="B109" s="5"/>
    </x:row>
    <x:row r="110">
      <x:c r="A110" s="5"/>
      <x:c r="B110" s="5"/>
    </x:row>
    <x:row r="111">
      <x:c r="A111" s="5"/>
      <x:c r="B111" s="5"/>
    </x:row>
    <x:row r="112">
      <x:c r="A112" s="5"/>
      <x:c r="B112" s="5"/>
    </x:row>
    <x:row r="113">
      <x:c r="A113" s="5"/>
      <x:c r="B113" s="5"/>
    </x:row>
    <x:row r="114">
      <x:c r="A114" s="5"/>
      <x:c r="B114" s="5"/>
    </x:row>
    <x:row r="115">
      <x:c r="A115" s="5"/>
      <x:c r="B115" s="5"/>
    </x:row>
    <x:row r="116">
      <x:c r="A116" s="5"/>
      <x:c r="B116" s="5"/>
    </x:row>
    <x:row r="117">
      <x:c r="A117" s="5"/>
      <x:c r="B117" s="5"/>
    </x:row>
    <x:row r="118">
      <x:c r="A118" s="5"/>
      <x:c r="B118" s="5"/>
    </x:row>
    <x:row r="119">
      <x:c r="A119" s="5"/>
      <x:c r="B119" s="5"/>
    </x:row>
    <x:row r="120">
      <x:c r="A120" s="5"/>
      <x:c r="B120" s="5"/>
    </x:row>
    <x:row r="121">
      <x:c r="A121" s="5"/>
      <x:c r="B121" s="5"/>
    </x:row>
    <x:row r="122">
      <x:c r="A122" s="5"/>
      <x:c r="B122" s="5"/>
    </x:row>
    <x:row r="123">
      <x:c r="A123" s="5"/>
      <x:c r="B123" s="5"/>
    </x:row>
    <x:row r="124">
      <x:c r="A124" s="5"/>
      <x:c r="B124" s="5"/>
    </x:row>
    <x:row r="125">
      <x:c r="A125" s="5"/>
      <x:c r="B125" s="5"/>
    </x:row>
    <x:row r="126">
      <x:c r="A126" s="5"/>
      <x:c r="B126" s="5"/>
    </x:row>
    <x:row r="127">
      <x:c r="A127" s="5"/>
      <x:c r="B127" s="5"/>
    </x:row>
    <x:row r="128">
      <x:c r="A128" s="5"/>
      <x:c r="B128" s="5"/>
    </x:row>
    <x:row r="129">
      <x:c r="A129" s="5"/>
      <x:c r="B129" s="5"/>
    </x:row>
    <x:row r="130">
      <x:c r="A130" s="5"/>
      <x:c r="B130" s="5"/>
    </x:row>
    <x:row r="131">
      <x:c r="A131" s="5"/>
      <x:c r="B131" s="5"/>
    </x:row>
    <x:row r="132">
      <x:c r="A132" s="5"/>
      <x:c r="B132" s="5"/>
    </x:row>
    <x:row r="133">
      <x:c r="A133" s="5"/>
      <x:c r="B133" s="5"/>
    </x:row>
    <x:row r="134">
      <x:c r="A134" s="5"/>
      <x:c r="B134" s="5"/>
    </x:row>
    <x:row r="135">
      <x:c r="A135" s="5"/>
      <x:c r="B135" s="5"/>
    </x:row>
    <x:row r="136">
      <x:c r="A136" s="5"/>
      <x:c r="B136" s="5"/>
    </x:row>
    <x:row r="137">
      <x:c r="A137" s="5"/>
      <x:c r="B137" s="5"/>
    </x:row>
    <x:row r="138">
      <x:c r="A138" s="5"/>
      <x:c r="B138" s="5"/>
    </x:row>
    <x:row r="139">
      <x:c r="A139" s="5"/>
      <x:c r="B139" s="5"/>
    </x:row>
    <x:row r="140">
      <x:c r="A140" s="5"/>
      <x:c r="B140" s="5"/>
    </x:row>
    <x:row r="141">
      <x:c r="A141" s="5"/>
      <x:c r="B141" s="5"/>
    </x:row>
    <x:row r="142">
      <x:c r="A142" s="5"/>
      <x:c r="B142" s="5"/>
    </x:row>
    <x:row r="143">
      <x:c r="A143" s="5"/>
      <x:c r="B143" s="5"/>
    </x:row>
    <x:row r="144">
      <x:c r="A144" s="5"/>
      <x:c r="B144" s="5"/>
    </x:row>
    <x:row r="145">
      <x:c r="A145" s="5"/>
      <x:c r="B145" s="5"/>
    </x:row>
    <x:row r="146">
      <x:c r="A146" s="5"/>
      <x:c r="B146" s="5"/>
    </x:row>
    <x:row r="147">
      <x:c r="A147" s="5"/>
      <x:c r="B147" s="5"/>
    </x:row>
    <x:row r="148">
      <x:c r="A148" s="5"/>
      <x:c r="B148" s="5"/>
    </x:row>
    <x:row r="149">
      <x:c r="A149" s="5"/>
      <x:c r="B149" s="5"/>
    </x:row>
    <x:row r="150">
      <x:c r="A150" s="5"/>
      <x:c r="B150" s="5"/>
    </x:row>
    <x:row r="151">
      <x:c r="A151" s="5"/>
      <x:c r="B151" s="5"/>
    </x:row>
    <x:row r="152">
      <x:c r="A152" s="5"/>
      <x:c r="B152" s="5"/>
    </x:row>
    <x:row r="153">
      <x:c r="A153" s="5"/>
      <x:c r="B153" s="5"/>
    </x:row>
    <x:row r="154">
      <x:c r="A154" s="5"/>
      <x:c r="B154" s="5"/>
    </x:row>
    <x:row r="155">
      <x:c r="A155" s="5"/>
      <x:c r="B155" s="5"/>
    </x:row>
    <x:row r="156">
      <x:c r="A156" s="5"/>
      <x:c r="B156" s="5"/>
    </x:row>
    <x:row r="157">
      <x:c r="A157" s="5"/>
      <x:c r="B157" s="5"/>
    </x:row>
    <x:row r="158">
      <x:c r="A158" s="5"/>
      <x:c r="B158" s="5"/>
    </x:row>
    <x:row r="159">
      <x:c r="A159" s="5"/>
      <x:c r="B159" s="5"/>
    </x:row>
    <x:row r="160">
      <x:c r="A160" s="5"/>
      <x:c r="B160" s="5"/>
    </x:row>
    <x:row r="161">
      <x:c r="A161" s="5"/>
      <x:c r="B161" s="5"/>
    </x:row>
    <x:row r="162">
      <x:c r="A162" s="5"/>
      <x:c r="B162" s="5"/>
    </x:row>
    <x:row r="163">
      <x:c r="A163" s="5"/>
      <x:c r="B163" s="5"/>
    </x:row>
    <x:row r="164">
      <x:c r="A164" s="5"/>
      <x:c r="B164" s="5"/>
    </x:row>
    <x:row r="165">
      <x:c r="A165" s="5"/>
      <x:c r="B165" s="5"/>
    </x:row>
    <x:row r="166">
      <x:c r="A166" s="5"/>
      <x:c r="B166" s="5"/>
    </x:row>
    <x:row r="167">
      <x:c r="A167" s="5"/>
      <x:c r="B167" s="5"/>
    </x:row>
    <x:row r="168">
      <x:c r="A168" s="5"/>
      <x:c r="B168" s="5"/>
    </x:row>
    <x:row r="169">
      <x:c r="A169" s="5"/>
      <x:c r="B169" s="5"/>
    </x:row>
    <x:row r="170">
      <x:c r="A170" s="5"/>
      <x:c r="B170" s="5"/>
    </x:row>
    <x:row r="171">
      <x:c r="A171" s="5"/>
      <x:c r="B171" s="5"/>
    </x:row>
    <x:row r="172">
      <x:c r="A172" s="5"/>
      <x:c r="B172" s="5"/>
    </x:row>
    <x:row r="173">
      <x:c r="A173" s="5"/>
      <x:c r="B173" s="5"/>
    </x:row>
    <x:row r="174">
      <x:c r="A174" s="5"/>
      <x:c r="B174" s="5"/>
    </x:row>
    <x:row r="175">
      <x:c r="A175" s="5"/>
      <x:c r="B175" s="5"/>
    </x:row>
    <x:row r="176">
      <x:c r="A176" s="5"/>
      <x:c r="B176" s="5"/>
    </x:row>
    <x:row r="177">
      <x:c r="A177" s="5"/>
      <x:c r="B177" s="5"/>
    </x:row>
    <x:row r="178">
      <x:c r="A178" s="5"/>
      <x:c r="B178" s="5"/>
    </x:row>
    <x:row r="179">
      <x:c r="A179" s="5"/>
      <x:c r="B179" s="5"/>
    </x:row>
    <x:row r="180">
      <x:c r="A180" s="5"/>
      <x:c r="B180" s="5"/>
    </x:row>
    <x:row r="181">
      <x:c r="A181" s="5"/>
      <x:c r="B181" s="5"/>
    </x:row>
    <x:row r="182">
      <x:c r="A182" s="5"/>
      <x:c r="B182" s="5"/>
    </x:row>
    <x:row r="183">
      <x:c r="A183" s="5"/>
      <x:c r="B183" s="5"/>
    </x:row>
    <x:row r="184">
      <x:c r="A184" s="5"/>
      <x:c r="B184" s="5"/>
    </x:row>
    <x:row r="185">
      <x:c r="A185" s="5"/>
      <x:c r="B185" s="5"/>
    </x:row>
    <x:row r="186">
      <x:c r="A186" s="5"/>
      <x:c r="B186" s="5"/>
    </x:row>
    <x:row r="187">
      <x:c r="A187" s="5"/>
      <x:c r="B187" s="5"/>
    </x:row>
    <x:row r="188">
      <x:c r="A188" s="5"/>
      <x:c r="B188" s="5"/>
    </x:row>
    <x:row r="189">
      <x:c r="A189" s="5"/>
      <x:c r="B189" s="5"/>
    </x:row>
    <x:row r="190">
      <x:c r="A190" s="5"/>
      <x:c r="B190" s="5"/>
    </x:row>
    <x:row r="191">
      <x:c r="A191" s="5"/>
      <x:c r="B191" s="5"/>
    </x:row>
    <x:row r="192">
      <x:c r="A192" s="5"/>
      <x:c r="B192" s="5"/>
    </x:row>
    <x:row r="193">
      <x:c r="A193" s="5"/>
      <x:c r="B193" s="5"/>
    </x:row>
    <x:row r="194">
      <x:c r="A194" s="5"/>
      <x:c r="B194" s="5"/>
    </x:row>
    <x:row r="195">
      <x:c r="A195" s="5"/>
      <x:c r="B195" s="5"/>
    </x:row>
    <x:row r="196">
      <x:c r="A196" s="5"/>
      <x:c r="B196" s="5"/>
    </x:row>
    <x:row r="197">
      <x:c r="A197" s="5"/>
      <x:c r="B197" s="5"/>
    </x:row>
    <x:row r="198">
      <x:c r="A198" s="5"/>
      <x:c r="B198" s="5"/>
    </x:row>
    <x:row r="199">
      <x:c r="A199" s="5"/>
      <x:c r="B199" s="5"/>
    </x:row>
    <x:row r="200">
      <x:c r="A200" s="5"/>
      <x:c r="B200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</x:cols>
  <x:sheetData>
    <x:row r="1">
      <x:c r="A1" s="3" t="str">
        <x:v>Parametro</x:v>
      </x:c>
      <x:c r="B1" s="3" t="str">
        <x:v>Valor</x:v>
      </x:c>
    </x:row>
    <x:row r="2">
      <x:c r="A2" s="5" t="str">
        <x:v>Mes</x:v>
      </x:c>
      <x:c r="B2" s="5" t="str">
        <x:v>Agosto de 2026</x:v>
      </x:c>
    </x:row>
    <x:row r="3">
      <x:c r="A3" s="5" t="str">
        <x:v>Maximo sin disputar</x:v>
      </x:c>
      <x:c r="B3" s="5" t="n">
        <x:v>3</x:v>
      </x:c>
    </x:row>
    <x:row r="4">
      <x:c r="A4" s="5" t="str">
        <x:v>Criterio</x:v>
      </x:c>
      <x:c r="B4" s="5" t="str">
        <x:v>Cumple si Sin disputas &lt;= Maximo</x:v>
      </x:c>
    </x:row>
    <x:row r="5">
      <x:c r="A5" s="5" t="str">
        <x:v>Notas</x:v>
      </x:c>
      <x:c r="B5" s="5" t="str">
        <x:v>Agrega locales en la hoja Locales y carga datos en Carga Semanal</x:v>
      </x:c>
    </x:row>
  </x:sheetData>
  <x:pageMargins left="0.7" right="0.7" top="0.75" bottom="0.75" header="0.3" footer="0.3"/>
</x:worksheet>
</file>